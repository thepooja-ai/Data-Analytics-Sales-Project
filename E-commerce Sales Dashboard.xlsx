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  <sheet state="visible" name="Products" sheetId="3" r:id="rId7"/>
    <sheet state="visible" name="TotalSales by Product" sheetId="4" r:id="rId8"/>
    <sheet state="visible" name="Sales by Month" sheetId="5" r:id="rId9"/>
    <sheet state="visible" name="Sales by Category" sheetId="6" r:id="rId10"/>
    <sheet state="visible" name="Dashboard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<sst xmlns="http://schemas.openxmlformats.org/spreadsheetml/2006/main" count="2455" uniqueCount="411">
  <si>
    <t>OrderID</t>
  </si>
  <si>
    <t>CustomerID</t>
  </si>
  <si>
    <t>ProductID</t>
  </si>
  <si>
    <t>Quantity</t>
  </si>
  <si>
    <t>OrderDate</t>
  </si>
  <si>
    <t>Customer Name</t>
  </si>
  <si>
    <t>Product Name</t>
  </si>
  <si>
    <t>Category</t>
  </si>
  <si>
    <t>Unit Price</t>
  </si>
  <si>
    <t>TotalSales</t>
  </si>
  <si>
    <t>O001</t>
  </si>
  <si>
    <t>C019</t>
  </si>
  <si>
    <t>P019</t>
  </si>
  <si>
    <t>O002</t>
  </si>
  <si>
    <t>C044</t>
  </si>
  <si>
    <t>P009</t>
  </si>
  <si>
    <t>O003</t>
  </si>
  <si>
    <t>C048</t>
  </si>
  <si>
    <t>P016</t>
  </si>
  <si>
    <t>O004</t>
  </si>
  <si>
    <t>C014</t>
  </si>
  <si>
    <t>P002</t>
  </si>
  <si>
    <t>O005</t>
  </si>
  <si>
    <t>C003</t>
  </si>
  <si>
    <t>P006</t>
  </si>
  <si>
    <t>O006</t>
  </si>
  <si>
    <t>C021</t>
  </si>
  <si>
    <t>O007</t>
  </si>
  <si>
    <t>C001</t>
  </si>
  <si>
    <t>P008</t>
  </si>
  <si>
    <t>O008</t>
  </si>
  <si>
    <t>P001</t>
  </si>
  <si>
    <t>O009</t>
  </si>
  <si>
    <t>C031</t>
  </si>
  <si>
    <t>O010</t>
  </si>
  <si>
    <t>P003</t>
  </si>
  <si>
    <t>O011</t>
  </si>
  <si>
    <t>C007</t>
  </si>
  <si>
    <t>O012</t>
  </si>
  <si>
    <t>C050</t>
  </si>
  <si>
    <t>P010</t>
  </si>
  <si>
    <t>O013</t>
  </si>
  <si>
    <t>C015</t>
  </si>
  <si>
    <t>P020</t>
  </si>
  <si>
    <t>O014</t>
  </si>
  <si>
    <t>O015</t>
  </si>
  <si>
    <t>C009</t>
  </si>
  <si>
    <t>O016</t>
  </si>
  <si>
    <t>C028</t>
  </si>
  <si>
    <t>P005</t>
  </si>
  <si>
    <t>O017</t>
  </si>
  <si>
    <t>C005</t>
  </si>
  <si>
    <t>O018</t>
  </si>
  <si>
    <t>C046</t>
  </si>
  <si>
    <t>O019</t>
  </si>
  <si>
    <t>P017</t>
  </si>
  <si>
    <t>O020</t>
  </si>
  <si>
    <t>P004</t>
  </si>
  <si>
    <t>O021</t>
  </si>
  <si>
    <t>O022</t>
  </si>
  <si>
    <t>C045</t>
  </si>
  <si>
    <t>O023</t>
  </si>
  <si>
    <t>C017</t>
  </si>
  <si>
    <t>O024</t>
  </si>
  <si>
    <t>C035</t>
  </si>
  <si>
    <t>P015</t>
  </si>
  <si>
    <t>O025</t>
  </si>
  <si>
    <t>C020</t>
  </si>
  <si>
    <t>O026</t>
  </si>
  <si>
    <t>C024</t>
  </si>
  <si>
    <t>P012</t>
  </si>
  <si>
    <t>O027</t>
  </si>
  <si>
    <t>O028</t>
  </si>
  <si>
    <t>O029</t>
  </si>
  <si>
    <t>O030</t>
  </si>
  <si>
    <t>P007</t>
  </si>
  <si>
    <t>O031</t>
  </si>
  <si>
    <t>C034</t>
  </si>
  <si>
    <t>O032</t>
  </si>
  <si>
    <t>C010</t>
  </si>
  <si>
    <t>P014</t>
  </si>
  <si>
    <t>O033</t>
  </si>
  <si>
    <t>O034</t>
  </si>
  <si>
    <t>C018</t>
  </si>
  <si>
    <t>O035</t>
  </si>
  <si>
    <t>O036</t>
  </si>
  <si>
    <t>C002</t>
  </si>
  <si>
    <t>P013</t>
  </si>
  <si>
    <t>O037</t>
  </si>
  <si>
    <t>O038</t>
  </si>
  <si>
    <t>C030</t>
  </si>
  <si>
    <t>O039</t>
  </si>
  <si>
    <t>O040</t>
  </si>
  <si>
    <t>C011</t>
  </si>
  <si>
    <t>O041</t>
  </si>
  <si>
    <t>C036</t>
  </si>
  <si>
    <t>O042</t>
  </si>
  <si>
    <t>O043</t>
  </si>
  <si>
    <t>C004</t>
  </si>
  <si>
    <t>O044</t>
  </si>
  <si>
    <t>C006</t>
  </si>
  <si>
    <t>O045</t>
  </si>
  <si>
    <t>C033</t>
  </si>
  <si>
    <t>O046</t>
  </si>
  <si>
    <t>P018</t>
  </si>
  <si>
    <t>O047</t>
  </si>
  <si>
    <t>C049</t>
  </si>
  <si>
    <t>O048</t>
  </si>
  <si>
    <t>C016</t>
  </si>
  <si>
    <t>O049</t>
  </si>
  <si>
    <t>C041</t>
  </si>
  <si>
    <t>O050</t>
  </si>
  <si>
    <t>O051</t>
  </si>
  <si>
    <t>O052</t>
  </si>
  <si>
    <t>C038</t>
  </si>
  <si>
    <t>O053</t>
  </si>
  <si>
    <t>O054</t>
  </si>
  <si>
    <t>O055</t>
  </si>
  <si>
    <t>C025</t>
  </si>
  <si>
    <t>O056</t>
  </si>
  <si>
    <t>O057</t>
  </si>
  <si>
    <t>O058</t>
  </si>
  <si>
    <t>C039</t>
  </si>
  <si>
    <t>O059</t>
  </si>
  <si>
    <t>C037</t>
  </si>
  <si>
    <t>O060</t>
  </si>
  <si>
    <t>C027</t>
  </si>
  <si>
    <t>O061</t>
  </si>
  <si>
    <t>O062</t>
  </si>
  <si>
    <t>O063</t>
  </si>
  <si>
    <t>O064</t>
  </si>
  <si>
    <t>C008</t>
  </si>
  <si>
    <t>O065</t>
  </si>
  <si>
    <t>O066</t>
  </si>
  <si>
    <t>O067</t>
  </si>
  <si>
    <t>O068</t>
  </si>
  <si>
    <t>O069</t>
  </si>
  <si>
    <t>C042</t>
  </si>
  <si>
    <t>O070</t>
  </si>
  <si>
    <t>O071</t>
  </si>
  <si>
    <t>C012</t>
  </si>
  <si>
    <t>O072</t>
  </si>
  <si>
    <t>O073</t>
  </si>
  <si>
    <t>C032</t>
  </si>
  <si>
    <t>O074</t>
  </si>
  <si>
    <t>O075</t>
  </si>
  <si>
    <t>O076</t>
  </si>
  <si>
    <t>O077</t>
  </si>
  <si>
    <t>C023</t>
  </si>
  <si>
    <t>O078</t>
  </si>
  <si>
    <t>O079</t>
  </si>
  <si>
    <t>P011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</si>
  <si>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</si>
  <si>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</si>
  <si>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</si>
  <si>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</si>
  <si>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</si>
  <si>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</si>
  <si>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</si>
  <si>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</si>
  <si>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</si>
  <si>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</si>
  <si>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</si>
  <si>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</si>
  <si>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</si>
  <si>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</si>
  <si>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C047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</si>
  <si>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</si>
  <si>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</si>
  <si>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</si>
  <si>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</si>
  <si>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</si>
  <si>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</si>
  <si>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</si>
  <si>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</si>
  <si>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</si>
  <si>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C013</t>
  </si>
  <si>
    <t>O103</t>
  </si>
  <si>
    <t>O104</t>
  </si>
  <si>
    <t>O105</t>
  </si>
  <si>
    <t>O106</t>
  </si>
  <si>
    <t>C040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</si>
  <si>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</si>
  <si>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</si>
  <si>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</si>
  <si>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</si>
  <si>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</si>
  <si>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</si>
  <si>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</si>
  <si>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</si>
  <si>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</si>
  <si>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</si>
  <si>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</si>
  <si>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</si>
  <si>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</si>
  <si>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</si>
  <si>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</si>
  <si>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</si>
  <si>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</si>
  <si>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</si>
  <si>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</si>
  <si>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</si>
  <si>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</si>
  <si>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</si>
  <si>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</si>
  <si>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</si>
  <si>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</si>
  <si>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</si>
  <si>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</si>
  <si>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</si>
  <si>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</si>
  <si>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</si>
  <si>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</si>
  <si>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C026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</si>
  <si>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</si>
  <si>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</si>
  <si>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</si>
  <si>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</si>
  <si>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</si>
  <si>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</si>
  <si>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</si>
  <si>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</si>
  <si>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</si>
  <si>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</si>
  <si>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</si>
  <si>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</si>
  <si>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</si>
  <si>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</si>
  <si>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</si>
  <si>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</si>
  <si>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</si>
  <si>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</si>
  <si>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</si>
  <si>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</si>
  <si>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</si>
  <si>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</si>
  <si>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</si>
  <si>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</si>
  <si>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</si>
  <si>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</si>
  <si>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</si>
  <si>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</si>
  <si>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</si>
  <si>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</si>
  <si>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</si>
  <si>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</si>
  <si>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</si>
  <si>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</si>
  <si>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</si>
  <si>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</si>
  <si>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</si>
  <si>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</si>
  <si>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</si>
  <si>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</si>
  <si>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C029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</si>
  <si>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</si>
  <si>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</si>
  <si>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</si>
  <si>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</si>
  <si>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</si>
  <si>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</si>
  <si>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</si>
  <si>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</si>
  <si>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</si>
  <si>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</si>
  <si>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</si>
  <si>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</si>
  <si>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</si>
  <si>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</si>
  <si>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</si>
  <si>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</si>
  <si>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</si>
  <si>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C022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</si>
  <si>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</si>
  <si>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</si>
  <si>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</si>
  <si>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</si>
  <si>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</si>
  <si>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</si>
  <si>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</si>
  <si>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</si>
  <si>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</si>
  <si>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</si>
  <si>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</si>
  <si>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</si>
  <si>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</si>
  <si>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</si>
  <si>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</si>
  <si>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</si>
  <si>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</si>
  <si>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</si>
  <si>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</si>
  <si>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</si>
  <si>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</si>
  <si>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</si>
  <si>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</si>
  <si>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</si>
  <si>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</si>
  <si>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</si>
  <si>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</si>
  <si>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</si>
  <si>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</si>
  <si>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</si>
  <si>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</si>
  <si>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</si>
  <si>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</si>
  <si>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</si>
  <si>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</si>
  <si>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</si>
  <si>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</si>
  <si>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</si>
  <si>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</si>
  <si>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</si>
  <si>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</si>
  <si>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</si>
  <si>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</si>
  <si>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</si>
  <si>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</si>
  <si>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</si>
  <si>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</si>
  <si>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</si>
  <si>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</si>
  <si>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</si>
  <si>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</si>
  <si>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</si>
  <si>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</si>
  <si>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</si>
  <si>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</si>
  <si>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</si>
  <si>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</si>
  <si>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</si>
  <si>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</si>
  <si>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</si>
  <si>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</si>
  <si>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</si>
  <si>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</si>
  <si>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</si>
  <si>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</si>
  <si>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</si>
  <si>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</si>
  <si>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</si>
  <si>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</si>
  <si>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</si>
  <si>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</si>
  <si>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</si>
  <si>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</si>
  <si>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</si>
  <si>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</si>
  <si>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</si>
  <si>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C043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</si>
  <si>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</si>
  <si>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</si>
  <si>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</si>
  <si>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</si>
  <si>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</si>
  <si>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</si>
  <si>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</si>
  <si>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</si>
  <si>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</si>
  <si>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</si>
  <si>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</si>
  <si>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</si>
  <si>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</si>
  <si>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</si>
  <si>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</si>
  <si>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</si>
  <si>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</si>
  <si>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</si>
  <si>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</si>
  <si>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</si>
  <si>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</si>
  <si>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</si>
  <si>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</si>
  <si>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</si>
  <si>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</si>
  <si>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</si>
  <si>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</si>
  <si>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</si>
  <si>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</si>
  <si>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</si>
  <si>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Arjun Sharma</t>
  </si>
  <si>
    <t>Priya Verma</t>
  </si>
  <si>
    <t>Rahul mann</t>
  </si>
  <si>
    <t>John Smith</t>
  </si>
  <si>
    <t xml:space="preserve">Sara Khan </t>
  </si>
  <si>
    <t>Neha Kumari</t>
  </si>
  <si>
    <t>David sun</t>
  </si>
  <si>
    <t>Aisha Malhotra</t>
  </si>
  <si>
    <t>Vikram Roy</t>
  </si>
  <si>
    <t>Meera</t>
  </si>
  <si>
    <t>Laptop</t>
  </si>
  <si>
    <t>Electronics</t>
  </si>
  <si>
    <t>Phone</t>
  </si>
  <si>
    <t>Headphones</t>
  </si>
  <si>
    <t>Accessories</t>
  </si>
  <si>
    <t>Mouse</t>
  </si>
  <si>
    <t>Keyboard</t>
  </si>
  <si>
    <t>Tablet</t>
  </si>
  <si>
    <t>Charger</t>
  </si>
  <si>
    <t>Monitor</t>
  </si>
  <si>
    <t>Speaker</t>
  </si>
  <si>
    <t>Smartwatch</t>
  </si>
  <si>
    <t>SUM of TotalSales</t>
  </si>
  <si>
    <t>Grand Total</t>
  </si>
  <si>
    <t>Total Revenue</t>
  </si>
  <si>
    <t>Total Orders</t>
  </si>
  <si>
    <t>Average Order Value</t>
  </si>
  <si>
    <t>insights</t>
  </si>
  <si>
    <t>Tablet is the highest revenue product.</t>
  </si>
  <si>
    <t>April recorded the highest sales peak.</t>
  </si>
  <si>
    <t>Electronics generated most total revenue.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</si>
</sst>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Font="1" applyNumberFormat="1"/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'TotalSales by Product'!$B$1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'TotalSales by Product'!$A$2:$A$11</c:f>
            </c:strRef>
          </c:cat>
          <c:val>
            <c:numRef>
              <c:f>'TotalSales by Product'!$B$2:$B$11</c:f>
              <c:numCache/>
            </c:numRef>
          </c:val>
        </c:ser>
        <c:axId val="626236591"/>
        <c:axId val="486548091"/>
      </c:barChart>
      <c:catAx>
        <c:axId val="6262365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548091"/>
      </c:catAx>
      <c:valAx>
        <c:axId val="4865480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2365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by Month'!$B$1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by Month'!$A$2:$A$145</c:f>
            </c:strRef>
          </c:cat>
          <c:val>
            <c:numRef>
              <c:f>'Sales by Month'!$B$2:$B$145</c:f>
              <c:numCache/>
            </c:numRef>
          </c:val>
          <c:smooth val="0"/>
        </c:ser>
        <c:axId val="1097011827"/>
        <c:axId val="203178071"/>
      </c:lineChart>
      <c:catAx>
        <c:axId val="1097011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8071"/>
      </c:catAx>
      <c:valAx>
        <c:axId val="20317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011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Category'!$A$2:$A$3</c:f>
            </c:strRef>
          </c:cat>
          <c:val>
            <c:numRef>
              <c:f>'Sales by Category'!$B$2:$B$3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</xdr:row>
      <xdr:rowOff>171450</xdr:rowOff>
    </xdr:from>
    <xdr:ext cx="4057650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942975</xdr:colOff>
      <xdr:row>3</xdr:row>
      <xdr:rowOff>171450</xdr:rowOff>
    </xdr:from>
    <xdr:ext cx="4057650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314325</xdr:colOff>
      <xdr:row>3</xdr:row>
      <xdr:rowOff>171450</xdr:rowOff>
    </xdr:from>
    <xdr:ext cx="4105275" cy="2514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" sheet="Orders"/>
  </cacheSource>
  <cacheFields>
    <cacheField name="OrderID" numFmtId="0">
      <sharedItems containsBlank="1">
        <s v="O001"/>
        <s v="O002"/>
        <s v="O003"/>
        <s v="O004"/>
        <s v="O005"/>
        <s v="O006"/>
        <s v="O007"/>
        <s v="O008"/>
        <s v="O009"/>
        <s v="O010"/>
        <s v="O011"/>
        <s v="O012"/>
        <s v="O013"/>
        <s v="O014"/>
        <s v="O015"/>
        <s v="O016"/>
        <s v="O017"/>
        <s v="O018"/>
        <s v="O019"/>
        <s v="O020"/>
        <s v="O021"/>
        <s v="O022"/>
        <s v="O023"/>
        <s v="O024"/>
        <s v="O025"/>
        <s v="O026"/>
        <s v="O027"/>
        <s v="O028"/>
        <s v="O029"/>
        <s v="O030"/>
        <s v="O031"/>
        <s v="O032"/>
        <s v="O033"/>
        <s v="O034"/>
        <s v="O035"/>
        <s v="O036"/>
        <s v="O037"/>
        <s v="O038"/>
        <s v="O039"/>
        <s v="O040"/>
        <s v="O041"/>
        <s v="O042"/>
        <s v="O043"/>
        <s v="O044"/>
        <s v="O045"/>
        <s v="O046"/>
        <s v="O047"/>
        <s v="O048"/>
        <s v="O049"/>
        <s v="O050"/>
        <s v="O051"/>
        <s v="O052"/>
        <s v="O053"/>
        <s v="O054"/>
        <s v="O055"/>
        <s v="O056"/>
        <s v="O057"/>
        <s v="O058"/>
        <s v="O059"/>
        <s v="O060"/>
        <s v="O061"/>
        <s v="O062"/>
        <s v="O063"/>
        <s v="O064"/>
        <s v="O065"/>
        <s v="O066"/>
        <s v="O067"/>
        <s v="O068"/>
        <s v="O069"/>
        <s v="O070"/>
        <s v="O071"/>
        <s v="O072"/>
        <s v="O073"/>
        <s v="O074"/>
        <s v="O075"/>
        <s v="O076"/>
        <s v="O077"/>
        <s v="O078"/>
        <s v="O079"/>
        <s v="O080"/>
        <s v="O081"/>
        <s v="O082"/>
        <s v="O083"/>
        <s v="O084"/>
        <s v="O085"/>
        <s v="O086"/>
        <s v="O087"/>
        <s v="O088"/>
        <s v="O089"/>
        <s v="O090"/>
        <s v="O091"/>
        <s v="O092"/>
        <s v="O093"/>
        <s v="O094"/>
        <s v="O095"/>
        <s v="O096"/>
        <s v="O097"/>
        <s v="O098"/>
        <s v="O099"/>
        <s v="O100"/>
        <s v="O101"/>
        <s v="O102"/>
        <s v="O103"/>
        <s v="O104"/>
        <s v="O105"/>
        <s v="O106"/>
        <s v="O107"/>
        <s v="O108"/>
        <s v="O109"/>
        <s v="O110"/>
        <s v="O111"/>
        <s v="O112"/>
        <s v="O113"/>
        <s v="O114"/>
        <s v="O115"/>
        <s v="O116"/>
        <s v="O117"/>
        <s v="O118"/>
        <s v="O119"/>
        <s v="O120"/>
        <s v="O121"/>
        <s v="O122"/>
        <s v="O123"/>
        <s v="O124"/>
        <s v="O125"/>
        <s v="O126"/>
        <s v="O127"/>
        <s v="O128"/>
        <s v="O129"/>
        <s v="O130"/>
        <s v="O131"/>
        <s v="O132"/>
        <s v="O133"/>
        <s v="O134"/>
        <s v="O135"/>
        <s v="O136"/>
        <s v="O137"/>
        <s v="O138"/>
        <s v="O139"/>
        <s v="O140"/>
        <s v="O141"/>
        <s v="O142"/>
        <s v="O143"/>
        <s v="O144"/>
        <s v="O145"/>
        <s v="O146"/>
        <s v="O147"/>
        <s v="O148"/>
        <s v="O149"/>
        <s v="O150"/>
        <s v="O151"/>
        <s v="O152"/>
        <s v="O153"/>
        <s v="O154"/>
        <s v="O155"/>
        <s v="O156"/>
        <s v="O157"/>
        <s v="O158"/>
        <s v="O159"/>
        <s v="O160"/>
        <s v="O161"/>
        <s v="O162"/>
        <s v="O163"/>
        <s v="O164"/>
        <s v="O165"/>
        <s v="O166"/>
        <s v="O167"/>
        <s v="O168"/>
        <s v="O169"/>
        <s v="O170"/>
        <s v="O171"/>
        <s v="O172"/>
        <s v="O173"/>
        <s v="O174"/>
        <s v="O175"/>
        <s v="O176"/>
        <s v="O177"/>
        <s v="O178"/>
        <s v="O179"/>
        <s v="O180"/>
        <s v="O181"/>
        <s v="O182"/>
        <s v="O183"/>
        <s v="O184"/>
        <s v="O185"/>
        <s v="O186"/>
        <s v="O187"/>
        <s v="O188"/>
        <s v="O189"/>
        <s v="O190"/>
        <s v="O191"/>
        <s v="O192"/>
        <s v="O193"/>
        <s v="O194"/>
        <s v="O195"/>
        <s v="O196"/>
        <s v="O197"/>
        <s v="O198"/>
        <s v="O199"/>
        <s v="O200"/>
        <s v="O201"/>
        <s v="O202"/>
        <s v="O203"/>
        <s v="O204"/>
        <s v="O205"/>
        <s v="O206"/>
        <s v="O207"/>
        <s v="O208"/>
        <s v="O209"/>
        <s v="O210"/>
        <s v="O211"/>
        <s v="O212"/>
        <s v="O213"/>
        <s v="O214"/>
        <s v="O215"/>
        <s v="O216"/>
        <s v="O217"/>
        <s v="O218"/>
        <s v="O219"/>
        <s v="O220"/>
        <s v="O221"/>
        <s v="O222"/>
        <s v="O223"/>
        <s v="O224"/>
        <s v="O225"/>
        <s v="O226"/>
        <s v="O227"/>
        <s v="O228"/>
        <s v="O229"/>
        <s v="O230"/>
        <s v="O231"/>
        <s v="O232"/>
        <s v="O233"/>
        <s v="O234"/>
        <s v="O235"/>
        <s v="O236"/>
        <s v="O237"/>
        <s v="O238"/>
        <s v="O239"/>
        <s v="O240"/>
        <s v="O241"/>
        <s v="O242"/>
        <s v="O243"/>
        <s v="O244"/>
        <s v="O245"/>
        <s v="O246"/>
        <s v="O247"/>
        <s v="O248"/>
        <s v="O249"/>
        <s v="O250"/>
        <s v="O251"/>
        <s v="O252"/>
        <s v="O253"/>
        <s v="O254"/>
        <s v="O255"/>
        <s v="O256"/>
        <s v="O257"/>
        <s v="O258"/>
        <s v="O259"/>
        <s v="O260"/>
        <s v="O261"/>
        <s v="O262"/>
        <s v="O263"/>
        <s v="O264"/>
        <s v="O265"/>
        <s v="O266"/>
        <s v="O267"/>
        <s v="O268"/>
        <s v="O269"/>
        <s v="O270"/>
        <s v="O271"/>
        <s v="O272"/>
        <s v="O273"/>
        <s v="O274"/>
        <s v="O275"/>
        <s v="O276"/>
        <s v="O277"/>
        <s v="O278"/>
        <s v="O279"/>
        <s v="O280"/>
        <s v="O281"/>
        <s v="O282"/>
        <s v="O283"/>
        <s v="O284"/>
        <s v="O285"/>
        <s v="O286"/>
        <s v="O287"/>
        <s v="O288"/>
        <s v="O289"/>
        <s v="O290"/>
        <s v="O291"/>
        <s v="O292"/>
        <s v="O293"/>
        <s v="O294"/>
        <s v="O295"/>
        <s v="O296"/>
        <s v="O297"/>
        <s v="O298"/>
        <s v="O299"/>
        <s v="O300"/>
        <m/>
      </sharedItems>
    </cacheField>
    <cacheField name="CustomerID" numFmtId="0">
      <sharedItems containsBlank="1">
        <s v="C019"/>
        <s v="C044"/>
        <s v="C048"/>
        <s v="C014"/>
        <s v="C003"/>
        <s v="C021"/>
        <s v="C001"/>
        <s v="C031"/>
        <s v="C007"/>
        <s v="C050"/>
        <s v="C015"/>
        <s v="C009"/>
        <s v="C028"/>
        <s v="C005"/>
        <s v="C046"/>
        <s v="C045"/>
        <s v="C017"/>
        <s v="C035"/>
        <s v="C020"/>
        <s v="C024"/>
        <s v="C034"/>
        <s v="C010"/>
        <s v="C018"/>
        <s v="C002"/>
        <s v="C030"/>
        <s v="C011"/>
        <s v="C036"/>
        <s v="C004"/>
        <s v="C006"/>
        <s v="C033"/>
        <s v="C049"/>
        <s v="C016"/>
        <s v="C041"/>
        <s v="C038"/>
        <s v="C025"/>
        <s v="C039"/>
        <s v="C037"/>
        <s v="C027"/>
        <s v="C008"/>
        <s v="C042"/>
        <s v="C012"/>
        <s v="C032"/>
        <s v="C023"/>
        <s v="C047"/>
        <s v="C013"/>
        <s v="C040"/>
        <s v="C026"/>
        <s v="C029"/>
        <s v="C022"/>
        <s v="C043"/>
        <m/>
      </sharedItems>
    </cacheField>
    <cacheField name="ProductID" numFmtId="164">
      <sharedItems containsBlank="1">
        <s v="P019"/>
        <s v="P009"/>
        <s v="P016"/>
        <s v="P002"/>
        <s v="P006"/>
        <s v="P008"/>
        <s v="P001"/>
        <s v="P003"/>
        <s v="P010"/>
        <s v="P020"/>
        <s v="P005"/>
        <s v="P017"/>
        <s v="P004"/>
        <s v="P015"/>
        <s v="P012"/>
        <s v="P007"/>
        <s v="P014"/>
        <s v="P013"/>
        <s v="P018"/>
        <s v="P011"/>
        <m/>
      </sharedItems>
    </cacheField>
    <cacheField name="Quantity" numFmtId="0">
      <sharedItems containsString="0" containsBlank="1" containsNumber="1" containsInteger="1">
        <n v="2.0"/>
        <n v="3.0"/>
        <n v="4.0"/>
        <n v="1.0"/>
        <n v="5.0"/>
        <m/>
      </sharedItems>
    </cacheField>
    <cacheField name="OrderDate" numFmtId="14">
      <sharedItems containsDate="1" containsString="0" containsBlank="1">
        <d v="2025-06-09T00:00:00Z"/>
        <d v="2025-03-25T00:00:00Z"/>
        <d v="2025-06-26T00:00:00Z"/>
        <d v="2025-06-23T00:00:00Z"/>
        <d v="2025-03-12T00:00:00Z"/>
        <d v="2025-01-04T00:00:00Z"/>
        <d v="2025-03-27T00:00:00Z"/>
        <d v="2025-01-19T00:00:00Z"/>
        <d v="2025-02-20T00:00:00Z"/>
        <d v="2025-02-14T00:00:00Z"/>
        <d v="2025-04-17T00:00:00Z"/>
        <d v="2025-04-18T00:00:00Z"/>
        <d v="2025-03-18T00:00:00Z"/>
        <d v="2025-06-05T00:00:00Z"/>
        <d v="2025-06-27T00:00:00Z"/>
        <d v="2025-03-24T00:00:00Z"/>
        <d v="2025-06-15T00:00:00Z"/>
        <d v="2025-04-14T00:00:00Z"/>
        <d v="2025-05-16T00:00:00Z"/>
        <d v="2025-01-13T00:00:00Z"/>
        <d v="2025-01-02T00:00:00Z"/>
        <d v="2025-05-31T00:00:00Z"/>
        <d v="2025-05-03T00:00:00Z"/>
        <d v="2025-06-29T00:00:00Z"/>
        <d v="2025-03-14T00:00:00Z"/>
        <d v="2025-05-10T00:00:00Z"/>
        <d v="2025-04-25T00:00:00Z"/>
        <d v="2025-04-21T00:00:00Z"/>
        <d v="2025-02-26T00:00:00Z"/>
        <d v="2025-01-12T00:00:00Z"/>
        <d v="2025-04-28T00:00:00Z"/>
        <d v="2025-03-03T00:00:00Z"/>
        <d v="2025-01-26T00:00:00Z"/>
        <d v="2025-04-16T00:00:00Z"/>
        <d v="2025-03-01T00:00:00Z"/>
        <d v="2025-04-09T00:00:00Z"/>
        <d v="2025-05-18T00:00:00Z"/>
        <d v="2025-06-18T00:00:00Z"/>
        <d v="2025-01-18T00:00:00Z"/>
        <d v="2025-06-12T00:00:00Z"/>
        <d v="2025-01-16T00:00:00Z"/>
        <d v="2025-03-23T00:00:00Z"/>
        <d v="2025-04-20T00:00:00Z"/>
        <d v="2025-01-21T00:00:00Z"/>
        <d v="2025-02-22T00:00:00Z"/>
        <d v="2025-03-05T00:00:00Z"/>
        <d v="2025-03-16T00:00:00Z"/>
        <d v="2025-02-07T00:00:00Z"/>
        <d v="2025-02-27T00:00:00Z"/>
        <d v="2025-03-28T00:00:00Z"/>
        <d v="2025-05-28T00:00:00Z"/>
        <d v="2025-01-22T00:00:00Z"/>
        <d v="2025-06-03T00:00:00Z"/>
        <d v="2025-05-20T00:00:00Z"/>
        <d v="2025-03-31T00:00:00Z"/>
        <d v="2025-03-11T00:00:00Z"/>
        <d v="2025-02-24T00:00:00Z"/>
        <d v="2025-06-24T00:00:00Z"/>
        <d v="2025-05-06T00:00:00Z"/>
        <d v="2025-03-02T00:00:00Z"/>
        <d v="2025-06-08T00:00:00Z"/>
        <d v="2025-02-06T00:00:00Z"/>
        <d v="2025-03-10T00:00:00Z"/>
        <d v="2025-06-30T00:00:00Z"/>
        <d v="2025-05-15T00:00:00Z"/>
        <d v="2025-03-21T00:00:00Z"/>
        <d v="2025-02-28T00:00:00Z"/>
        <d v="2025-04-13T00:00:00Z"/>
        <d v="2025-06-06T00:00:00Z"/>
        <d v="2025-02-08T00:00:00Z"/>
        <d v="2025-04-24T00:00:00Z"/>
        <d v="2025-04-01T00:00:00Z"/>
        <d v="2025-03-22T00:00:00Z"/>
        <d v="2025-04-05T00:00:00Z"/>
        <d v="2025-01-24T00:00:00Z"/>
        <d v="2025-03-07T00:00:00Z"/>
        <d v="2025-03-17T00:00:00Z"/>
        <d v="2025-03-26T00:00:00Z"/>
        <d v="2025-01-11T00:00:00Z"/>
        <d v="2025-01-27T00:00:00Z"/>
        <d v="2025-04-27T00:00:00Z"/>
        <d v="2025-05-14T00:00:00Z"/>
        <d v="2025-06-19T00:00:00Z"/>
        <d v="2025-02-11T00:00:00Z"/>
        <d v="2025-04-02T00:00:00Z"/>
        <d v="2025-03-09T00:00:00Z"/>
        <d v="2025-01-07T00:00:00Z"/>
        <d v="2025-02-16T00:00:00Z"/>
        <d v="2025-05-29T00:00:00Z"/>
        <d v="2025-04-04T00:00:00Z"/>
        <d v="2025-05-05T00:00:00Z"/>
        <d v="2025-05-26T00:00:00Z"/>
        <d v="2025-04-29T00:00:00Z"/>
        <d v="2025-02-19T00:00:00Z"/>
        <d v="2025-05-27T00:00:00Z"/>
        <d v="2025-01-15T00:00:00Z"/>
        <d v="2025-05-09T00:00:00Z"/>
        <d v="2025-01-03T00:00:00Z"/>
        <d v="2025-06-16T00:00:00Z"/>
        <d v="2025-02-23T00:00:00Z"/>
        <d v="2025-06-17T00:00:00Z"/>
        <d v="2025-06-28T00:00:00Z"/>
        <d v="2025-04-07T00:00:00Z"/>
        <d v="2025-02-13T00:00:00Z"/>
        <d v="2025-05-24T00:00:00Z"/>
        <d v="2025-02-15T00:00:00Z"/>
        <d v="2025-05-11T00:00:00Z"/>
        <d v="2025-02-17T00:00:00Z"/>
        <d v="2025-02-18T00:00:00Z"/>
        <d v="2025-01-10T00:00:00Z"/>
        <d v="2025-04-26T00:00:00Z"/>
        <d v="2025-03-04T00:00:00Z"/>
        <d v="2025-05-25T00:00:00Z"/>
        <d v="2025-01-28T00:00:00Z"/>
        <d v="2025-01-17T00:00:00Z"/>
        <d v="2025-05-07T00:00:00Z"/>
        <d v="2025-02-02T00:00:00Z"/>
        <d v="2025-01-29T00:00:00Z"/>
        <d v="2025-02-10T00:00:00Z"/>
        <d v="2025-05-22T00:00:00Z"/>
        <d v="2025-06-10T00:00:00Z"/>
        <d v="2025-01-14T00:00:00Z"/>
        <d v="2025-02-04T00:00:00Z"/>
        <d v="2025-01-08T00:00:00Z"/>
        <d v="2025-04-15T00:00:00Z"/>
        <d v="2025-06-25T00:00:00Z"/>
        <d v="2025-05-08T00:00:00Z"/>
        <d v="2025-05-23T00:00:00Z"/>
        <d v="2025-05-01T00:00:00Z"/>
        <d v="2025-01-06T00:00:00Z"/>
        <d v="2025-01-25T00:00:00Z"/>
        <d v="2025-06-20T00:00:00Z"/>
        <d v="2025-03-29T00:00:00Z"/>
        <d v="2025-06-21T00:00:00Z"/>
        <d v="2025-04-23T00:00:00Z"/>
        <d v="2025-05-17T00:00:00Z"/>
        <d v="2025-02-12T00:00:00Z"/>
        <d v="2025-02-09T00:00:00Z"/>
        <d v="2025-04-03T00:00:00Z"/>
        <d v="2025-02-25T00:00:00Z"/>
        <d v="2025-01-20T00:00:00Z"/>
        <d v="2025-05-21T00:00:00Z"/>
        <d v="2025-04-22T00:00:00Z"/>
        <d v="2025-01-09T00:00:00Z"/>
        <m/>
      </sharedItems>
    </cacheField>
    <cacheField name="Customer Name" numFmtId="0">
      <sharedItems containsBlank="1">
        <s v="Arjun Sharma"/>
        <s v="Priya Verma"/>
        <s v="Rahul mann"/>
        <s v="John Smith"/>
        <s v="Sara Khan "/>
        <s v="Neha Kumari"/>
        <s v="David sun"/>
        <s v="Vikram Roy"/>
        <s v="Aisha Malhotra"/>
        <s v="Meera"/>
        <m/>
      </sharedItems>
    </cacheField>
    <cacheField name="Product Name" numFmtId="0">
      <sharedItems containsBlank="1">
        <s v="Laptop"/>
        <s v="Phone"/>
        <s v="Headphones"/>
        <s v="Mouse"/>
        <s v="Keyboard"/>
        <s v="Charger"/>
        <s v="Monitor"/>
        <s v="Smartwatch"/>
        <s v="Tablet"/>
        <s v="Speaker"/>
        <m/>
      </sharedItems>
    </cacheField>
    <cacheField name="Category" numFmtId="0">
      <sharedItems containsBlank="1">
        <s v="Electronics"/>
        <s v="Accessories"/>
        <m/>
      </sharedItems>
    </cacheField>
    <cacheField name="Unit Price" numFmtId="0">
      <sharedItems containsString="0" containsBlank="1" containsNumber="1" containsInteger="1">
        <n v="62520.0"/>
        <n v="59549.0"/>
        <n v="2760.0"/>
        <n v="3649.0"/>
        <n v="2426.0"/>
        <n v="586.0"/>
        <n v="63079.0"/>
        <n v="49383.0"/>
        <n v="50972.0"/>
        <n v="1821.0"/>
        <n v="40192.0"/>
        <n v="3408.0"/>
        <n v="20151.0"/>
        <n v="2899.0"/>
        <n v="45245.0"/>
        <n v="61749.0"/>
        <n v="21434.0"/>
        <n v="65755.0"/>
        <n v="61889.0"/>
        <n v="3985.0"/>
        <m/>
      </sharedItems>
    </cacheField>
    <cacheField name="TotalSales" numFmtId="0">
      <sharedItems containsString="0" containsBlank="1" containsNumber="1" containsInteger="1">
        <n v="125040.0"/>
        <n v="178647.0"/>
        <n v="8280.0"/>
        <n v="7298.0"/>
        <n v="7278.0"/>
        <n v="238196.0"/>
        <n v="1172.0"/>
        <n v="189237.0"/>
        <n v="98766.0"/>
        <n v="4852.0"/>
        <n v="50972.0"/>
        <n v="9105.0"/>
        <n v="63079.0"/>
        <n v="18245.0"/>
        <n v="80384.0"/>
        <n v="11040.0"/>
        <n v="126158.0"/>
        <n v="6816.0"/>
        <n v="80604.0"/>
        <n v="3408.0"/>
        <n v="5463.0"/>
        <n v="8697.0"/>
        <n v="226225.0"/>
        <n v="2899.0"/>
        <n v="1821.0"/>
        <n v="246996.0"/>
        <n v="49383.0"/>
        <n v="42868.0"/>
        <n v="107170.0"/>
        <n v="12130.0"/>
        <n v="64302.0"/>
        <n v="263020.0"/>
        <n v="65755.0"/>
        <n v="119098.0"/>
        <n v="3649.0"/>
        <n v="14495.0"/>
        <n v="247556.0"/>
        <n v="2344.0"/>
        <n v="123778.0"/>
        <n v="90490.0"/>
        <n v="135735.0"/>
        <n v="2426.0"/>
        <n v="200960.0"/>
        <n v="297745.0"/>
        <n v="197532.0"/>
        <n v="40302.0"/>
        <n v="61889.0"/>
        <n v="203888.0"/>
        <n v="312600.0"/>
        <n v="309445.0"/>
        <n v="246915.0"/>
        <n v="14596.0"/>
        <n v="160768.0"/>
        <n v="308745.0"/>
        <n v="315395.0"/>
        <n v="7970.0"/>
        <n v="185247.0"/>
        <n v="328775.0"/>
        <n v="45245.0"/>
        <n v="197265.0"/>
        <n v="17040.0"/>
        <n v="60453.0"/>
        <n v="120576.0"/>
        <n v="20151.0"/>
        <n v="10947.0"/>
        <n v="85736.0"/>
        <n v="15940.0"/>
        <n v="61749.0"/>
        <n v="19925.0"/>
        <n v="21434.0"/>
        <n v="254860.0"/>
        <n v="5520.0"/>
        <n v="250080.0"/>
        <n v="40192.0"/>
        <n v="100755.0"/>
        <n v="5798.0"/>
        <n v="3642.0"/>
        <n v="62520.0"/>
        <n v="123498.0"/>
        <n v="101944.0"/>
        <n v="10224.0"/>
        <n v="252316.0"/>
        <n v="59549.0"/>
        <n v="131510.0"/>
        <n v="185667.0"/>
        <n v="2930.0"/>
        <n v="2760.0"/>
        <n v="11596.0"/>
        <n v="1758.0"/>
        <n v="187560.0"/>
        <n v="9704.0"/>
        <n v="180980.0"/>
        <n v="11955.0"/>
        <n v="13632.0"/>
        <n v="7284.0"/>
        <n v="3985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ales by Product" cacheId="0" dataCaption="" compact="0" compactData="0">
  <location ref="A1:B1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 Name" axis="axisRow" compact="0" outline="0" multipleItemSelectionAllowed="1" showAll="0" sortType="descending">
      <items>
        <item x="8"/>
        <item x="9"/>
        <item x="7"/>
        <item x="1"/>
        <item x="3"/>
        <item x="6"/>
        <item x="0"/>
        <item x="4"/>
        <item x="2"/>
        <item x="5"/>
        <item h="1" x="1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</pivotFields>
  <rowFields>
    <field x="6"/>
  </rowFields>
  <dataFields>
    <dataField name="SUM of TotalSales" fld="9" baseField="0"/>
  </dataFields>
</pivotTableDefinition>
</file>

<file path=xl/pivotTables/pivotTable2.xml><?xml version="1.0" encoding="utf-8"?>
<pivotTableDefinition xmlns="http://schemas.openxmlformats.org/spreadsheetml/2006/main" name="Sales by Month" cacheId="0" dataCaption="" compact="0" compactData="0">
  <location ref="A1:B14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Date" axis="axisRow" compact="0" numFmtId="14" outline="0" multipleItemSelectionAllowed="1" showAll="0" sortType="ascending">
      <items>
        <item h="1" x="144"/>
        <item x="20"/>
        <item x="97"/>
        <item x="5"/>
        <item x="129"/>
        <item x="86"/>
        <item x="123"/>
        <item x="143"/>
        <item x="109"/>
        <item x="78"/>
        <item x="29"/>
        <item x="19"/>
        <item x="121"/>
        <item x="95"/>
        <item x="40"/>
        <item x="114"/>
        <item x="38"/>
        <item x="7"/>
        <item x="140"/>
        <item x="43"/>
        <item x="51"/>
        <item x="74"/>
        <item x="130"/>
        <item x="32"/>
        <item x="79"/>
        <item x="113"/>
        <item x="117"/>
        <item x="116"/>
        <item x="122"/>
        <item x="61"/>
        <item x="47"/>
        <item x="69"/>
        <item x="137"/>
        <item x="118"/>
        <item x="83"/>
        <item x="136"/>
        <item x="103"/>
        <item x="9"/>
        <item x="105"/>
        <item x="87"/>
        <item x="107"/>
        <item x="108"/>
        <item x="93"/>
        <item x="8"/>
        <item x="44"/>
        <item x="99"/>
        <item x="56"/>
        <item x="139"/>
        <item x="28"/>
        <item x="48"/>
        <item x="66"/>
        <item x="34"/>
        <item x="59"/>
        <item x="31"/>
        <item x="111"/>
        <item x="45"/>
        <item x="75"/>
        <item x="85"/>
        <item x="62"/>
        <item x="55"/>
        <item x="4"/>
        <item x="24"/>
        <item x="46"/>
        <item x="76"/>
        <item x="12"/>
        <item x="65"/>
        <item x="72"/>
        <item x="41"/>
        <item x="15"/>
        <item x="1"/>
        <item x="77"/>
        <item x="6"/>
        <item x="49"/>
        <item x="132"/>
        <item x="54"/>
        <item x="71"/>
        <item x="84"/>
        <item x="138"/>
        <item x="89"/>
        <item x="73"/>
        <item x="102"/>
        <item x="35"/>
        <item x="67"/>
        <item x="17"/>
        <item x="124"/>
        <item x="33"/>
        <item x="10"/>
        <item x="11"/>
        <item x="42"/>
        <item x="27"/>
        <item x="142"/>
        <item x="134"/>
        <item x="70"/>
        <item x="26"/>
        <item x="110"/>
        <item x="80"/>
        <item x="30"/>
        <item x="92"/>
        <item x="128"/>
        <item x="22"/>
        <item x="90"/>
        <item x="58"/>
        <item x="115"/>
        <item x="126"/>
        <item x="96"/>
        <item x="25"/>
        <item x="106"/>
        <item x="81"/>
        <item x="64"/>
        <item x="18"/>
        <item x="135"/>
        <item x="36"/>
        <item x="53"/>
        <item x="141"/>
        <item x="119"/>
        <item x="127"/>
        <item x="104"/>
        <item x="112"/>
        <item x="91"/>
        <item x="94"/>
        <item x="50"/>
        <item x="88"/>
        <item x="21"/>
        <item x="52"/>
        <item x="13"/>
        <item x="68"/>
        <item x="60"/>
        <item x="0"/>
        <item x="120"/>
        <item x="39"/>
        <item x="16"/>
        <item x="98"/>
        <item x="100"/>
        <item x="37"/>
        <item x="82"/>
        <item x="131"/>
        <item x="133"/>
        <item x="3"/>
        <item x="57"/>
        <item x="125"/>
        <item x="2"/>
        <item x="14"/>
        <item x="101"/>
        <item x="23"/>
        <item x="6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</pivotFields>
  <rowFields>
    <field x="4"/>
  </rowFields>
  <dataFields>
    <dataField name="SUM of TotalSales" fld="9" baseField="0"/>
  </dataFields>
</pivotTableDefinition>
</file>

<file path=xl/pivotTables/pivotTable3.xml><?xml version="1.0" encoding="utf-8"?>
<pivotTableDefinition xmlns="http://schemas.openxmlformats.org/spreadsheetml/2006/main" name="Sales by Category" cacheId="0" dataCaption="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axis="axisRow" compact="0" outline="0" multipleItemSelectionAllowed="1" showAll="0" sortType="ascending">
      <items>
        <item h="1" x="2"/>
        <item x="1"/>
        <item x="0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</pivotFields>
  <rowFields>
    <field x="7"/>
  </rowFields>
  <dataFields>
    <dataField name="SUM of Total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2">
        <v>2.0</v>
      </c>
      <c r="E2" s="5">
        <v>45817.0</v>
      </c>
      <c r="F2" s="2" t="str">
        <f>VLOOKUP(B2,Customers!A:B,2,FALSE)</f>
        <v>Arjun Sharma</v>
      </c>
      <c r="G2" s="2" t="str">
        <f>VLOOKUP(C2,Products!A:B,2,FALSE)</f>
        <v>Laptop</v>
      </c>
      <c r="H2" s="2" t="str">
        <f>VLOOKUP(C2,Products!A:C,3,FALSE)</f>
        <v>Electronics</v>
      </c>
      <c r="I2" s="2">
        <f>VLOOKUP(C2,Products!A:D,4,FALSE)</f>
        <v>62520</v>
      </c>
      <c r="J2" s="2">
        <f t="shared" ref="J2:J301" si="1">D2*I2</f>
        <v>125040</v>
      </c>
    </row>
    <row r="3">
      <c r="A3" s="2" t="s">
        <v>13</v>
      </c>
      <c r="B3" s="3" t="s">
        <v>14</v>
      </c>
      <c r="C3" s="4" t="s">
        <v>15</v>
      </c>
      <c r="D3" s="2">
        <v>3.0</v>
      </c>
      <c r="E3" s="5">
        <v>45741.0</v>
      </c>
      <c r="F3" s="2" t="str">
        <f>VLOOKUP(B3,Customers!A:B,2,FALSE)</f>
        <v>Priya Verma</v>
      </c>
      <c r="G3" s="2" t="str">
        <f>VLOOKUP(C3,Products!A:B,2,FALSE)</f>
        <v>Phone</v>
      </c>
      <c r="H3" s="2" t="str">
        <f>VLOOKUP(C3,Products!A:C,3,FALSE)</f>
        <v>Electronics</v>
      </c>
      <c r="I3" s="2">
        <f>VLOOKUP(C3,Products!A:D,4,FALSE)</f>
        <v>59549</v>
      </c>
      <c r="J3" s="2">
        <f t="shared" si="1"/>
        <v>178647</v>
      </c>
    </row>
    <row r="4">
      <c r="A4" s="2" t="s">
        <v>16</v>
      </c>
      <c r="B4" s="3" t="s">
        <v>17</v>
      </c>
      <c r="C4" s="4" t="s">
        <v>18</v>
      </c>
      <c r="D4" s="2">
        <v>3.0</v>
      </c>
      <c r="E4" s="5">
        <v>45834.0</v>
      </c>
      <c r="F4" s="2" t="str">
        <f>VLOOKUP(B4,Customers!A:B,2,FALSE)</f>
        <v>Rahul mann</v>
      </c>
      <c r="G4" s="2" t="str">
        <f>VLOOKUP(C4,Products!A:B,2,FALSE)</f>
        <v>Headphones</v>
      </c>
      <c r="H4" s="2" t="str">
        <f>VLOOKUP(C4,Products!A:C,3,FALSE)</f>
        <v>Accessories</v>
      </c>
      <c r="I4" s="2">
        <f>VLOOKUP(C4,Products!A:D,4,FALSE)</f>
        <v>2760</v>
      </c>
      <c r="J4" s="2">
        <f t="shared" si="1"/>
        <v>8280</v>
      </c>
    </row>
    <row r="5">
      <c r="A5" s="2" t="s">
        <v>19</v>
      </c>
      <c r="B5" s="3" t="s">
        <v>20</v>
      </c>
      <c r="C5" s="4" t="s">
        <v>21</v>
      </c>
      <c r="D5" s="2">
        <v>2.0</v>
      </c>
      <c r="E5" s="5">
        <v>45831.0</v>
      </c>
      <c r="F5" s="2" t="str">
        <f>VLOOKUP(B5,Customers!A:B,2,FALSE)</f>
        <v>John Smith</v>
      </c>
      <c r="G5" s="2" t="str">
        <f>VLOOKUP(C5,Products!A:B,2,FALSE)</f>
        <v>Mouse</v>
      </c>
      <c r="H5" s="2" t="str">
        <f>VLOOKUP(C5,Products!A:C,3,FALSE)</f>
        <v>Accessories</v>
      </c>
      <c r="I5" s="2">
        <f>VLOOKUP(C5,Products!A:D,4,FALSE)</f>
        <v>3649</v>
      </c>
      <c r="J5" s="2">
        <f t="shared" si="1"/>
        <v>7298</v>
      </c>
    </row>
    <row r="6">
      <c r="A6" s="2" t="s">
        <v>22</v>
      </c>
      <c r="B6" s="3" t="s">
        <v>23</v>
      </c>
      <c r="C6" s="4" t="s">
        <v>24</v>
      </c>
      <c r="D6" s="2">
        <v>3.0</v>
      </c>
      <c r="E6" s="5">
        <v>45728.0</v>
      </c>
      <c r="F6" s="2" t="str">
        <f>VLOOKUP(B6,Customers!A:B,2,FALSE)</f>
        <v>Sara Khan </v>
      </c>
      <c r="G6" s="2" t="str">
        <f>VLOOKUP(C6,Products!A:B,2,FALSE)</f>
        <v>Keyboard</v>
      </c>
      <c r="H6" s="2" t="str">
        <f>VLOOKUP(C6,Products!A:C,3,FALSE)</f>
        <v>Accessories</v>
      </c>
      <c r="I6" s="2">
        <f>VLOOKUP(C6,Products!A:D,4,FALSE)</f>
        <v>2426</v>
      </c>
      <c r="J6" s="2">
        <f t="shared" si="1"/>
        <v>7278</v>
      </c>
    </row>
    <row r="7">
      <c r="A7" s="2" t="s">
        <v>25</v>
      </c>
      <c r="B7" s="3" t="s">
        <v>26</v>
      </c>
      <c r="C7" s="4" t="s">
        <v>15</v>
      </c>
      <c r="D7" s="2">
        <v>4.0</v>
      </c>
      <c r="E7" s="5">
        <v>45661.0</v>
      </c>
      <c r="F7" s="2" t="str">
        <f>VLOOKUP(B7,Customers!A:B,2,FALSE)</f>
        <v>Neha Kumari</v>
      </c>
      <c r="G7" s="2" t="str">
        <f>VLOOKUP(C7,Products!A:B,2,FALSE)</f>
        <v>Phone</v>
      </c>
      <c r="H7" s="2" t="str">
        <f>VLOOKUP(C7,Products!A:C,3,FALSE)</f>
        <v>Electronics</v>
      </c>
      <c r="I7" s="2">
        <f>VLOOKUP(C7,Products!A:D,4,FALSE)</f>
        <v>59549</v>
      </c>
      <c r="J7" s="2">
        <f t="shared" si="1"/>
        <v>238196</v>
      </c>
    </row>
    <row r="8">
      <c r="A8" s="2" t="s">
        <v>27</v>
      </c>
      <c r="B8" s="3" t="s">
        <v>28</v>
      </c>
      <c r="C8" s="4" t="s">
        <v>29</v>
      </c>
      <c r="D8" s="2">
        <v>2.0</v>
      </c>
      <c r="E8" s="5">
        <v>45743.0</v>
      </c>
      <c r="F8" s="2" t="str">
        <f>VLOOKUP(B8,Customers!A:B,2,FALSE)</f>
        <v>David sun</v>
      </c>
      <c r="G8" s="2" t="str">
        <f>VLOOKUP(C8,Products!A:B,2,FALSE)</f>
        <v>Charger</v>
      </c>
      <c r="H8" s="2" t="str">
        <f>VLOOKUP(C8,Products!A:C,3,FALSE)</f>
        <v>Accessories</v>
      </c>
      <c r="I8" s="2">
        <f>VLOOKUP(C8,Products!A:D,4,FALSE)</f>
        <v>586</v>
      </c>
      <c r="J8" s="2">
        <f t="shared" si="1"/>
        <v>1172</v>
      </c>
    </row>
    <row r="9">
      <c r="A9" s="2" t="s">
        <v>30</v>
      </c>
      <c r="B9" s="3" t="s">
        <v>26</v>
      </c>
      <c r="C9" s="4" t="s">
        <v>31</v>
      </c>
      <c r="D9" s="2">
        <v>3.0</v>
      </c>
      <c r="E9" s="5">
        <v>45676.0</v>
      </c>
      <c r="F9" s="2" t="str">
        <f>VLOOKUP(B9,Customers!A:B,2,FALSE)</f>
        <v>Neha Kumari</v>
      </c>
      <c r="G9" s="2" t="str">
        <f>VLOOKUP(C9,Products!A:B,2,FALSE)</f>
        <v>Monitor</v>
      </c>
      <c r="H9" s="2" t="str">
        <f>VLOOKUP(C9,Products!A:C,3,FALSE)</f>
        <v>Electronics</v>
      </c>
      <c r="I9" s="2">
        <f>VLOOKUP(C9,Products!A:D,4,FALSE)</f>
        <v>63079</v>
      </c>
      <c r="J9" s="2">
        <f t="shared" si="1"/>
        <v>189237</v>
      </c>
    </row>
    <row r="10">
      <c r="A10" s="2" t="s">
        <v>32</v>
      </c>
      <c r="B10" s="3" t="s">
        <v>33</v>
      </c>
      <c r="C10" s="4" t="s">
        <v>21</v>
      </c>
      <c r="D10" s="2">
        <v>2.0</v>
      </c>
      <c r="E10" s="5">
        <v>45708.0</v>
      </c>
      <c r="F10" s="2" t="str">
        <f>VLOOKUP(B10,Customers!A:B,2,FALSE)</f>
        <v>Vikram Roy</v>
      </c>
      <c r="G10" s="2" t="str">
        <f>VLOOKUP(C10,Products!A:B,2,FALSE)</f>
        <v>Mouse</v>
      </c>
      <c r="H10" s="2" t="str">
        <f>VLOOKUP(C10,Products!A:C,3,FALSE)</f>
        <v>Accessories</v>
      </c>
      <c r="I10" s="2">
        <f>VLOOKUP(C10,Products!A:D,4,FALSE)</f>
        <v>3649</v>
      </c>
      <c r="J10" s="2">
        <f t="shared" si="1"/>
        <v>7298</v>
      </c>
    </row>
    <row r="11">
      <c r="A11" s="2" t="s">
        <v>34</v>
      </c>
      <c r="B11" s="3" t="s">
        <v>20</v>
      </c>
      <c r="C11" s="4" t="s">
        <v>35</v>
      </c>
      <c r="D11" s="2">
        <v>2.0</v>
      </c>
      <c r="E11" s="5">
        <v>45702.0</v>
      </c>
      <c r="F11" s="2" t="str">
        <f>VLOOKUP(B11,Customers!A:B,2,FALSE)</f>
        <v>John Smith</v>
      </c>
      <c r="G11" s="2" t="str">
        <f>VLOOKUP(C11,Products!A:B,2,FALSE)</f>
        <v>Smartwatch</v>
      </c>
      <c r="H11" s="2" t="str">
        <f>VLOOKUP(C11,Products!A:C,3,FALSE)</f>
        <v>Electronics</v>
      </c>
      <c r="I11" s="2">
        <f>VLOOKUP(C11,Products!A:D,4,FALSE)</f>
        <v>49383</v>
      </c>
      <c r="J11" s="2">
        <f t="shared" si="1"/>
        <v>98766</v>
      </c>
    </row>
    <row r="12">
      <c r="A12" s="2" t="s">
        <v>36</v>
      </c>
      <c r="B12" s="3" t="s">
        <v>37</v>
      </c>
      <c r="C12" s="4" t="s">
        <v>24</v>
      </c>
      <c r="D12" s="2">
        <v>2.0</v>
      </c>
      <c r="E12" s="5">
        <v>45741.0</v>
      </c>
      <c r="F12" s="2" t="str">
        <f>VLOOKUP(B12,Customers!A:B,2,FALSE)</f>
        <v>Arjun Sharma</v>
      </c>
      <c r="G12" s="2" t="str">
        <f>VLOOKUP(C12,Products!A:B,2,FALSE)</f>
        <v>Keyboard</v>
      </c>
      <c r="H12" s="2" t="str">
        <f>VLOOKUP(C12,Products!A:C,3,FALSE)</f>
        <v>Accessories</v>
      </c>
      <c r="I12" s="2">
        <f>VLOOKUP(C12,Products!A:D,4,FALSE)</f>
        <v>2426</v>
      </c>
      <c r="J12" s="2">
        <f t="shared" si="1"/>
        <v>4852</v>
      </c>
    </row>
    <row r="13">
      <c r="A13" s="2" t="s">
        <v>38</v>
      </c>
      <c r="B13" s="3" t="s">
        <v>39</v>
      </c>
      <c r="C13" s="4" t="s">
        <v>40</v>
      </c>
      <c r="D13" s="2">
        <v>1.0</v>
      </c>
      <c r="E13" s="5">
        <v>45764.0</v>
      </c>
      <c r="F13" s="2" t="str">
        <f>VLOOKUP(B13,Customers!A:B,2,FALSE)</f>
        <v>Priya Verma</v>
      </c>
      <c r="G13" s="2" t="str">
        <f>VLOOKUP(C13,Products!A:B,2,FALSE)</f>
        <v>Phone</v>
      </c>
      <c r="H13" s="2" t="str">
        <f>VLOOKUP(C13,Products!A:C,3,FALSE)</f>
        <v>Electronics</v>
      </c>
      <c r="I13" s="2">
        <f>VLOOKUP(C13,Products!A:D,4,FALSE)</f>
        <v>50972</v>
      </c>
      <c r="J13" s="2">
        <f t="shared" si="1"/>
        <v>50972</v>
      </c>
    </row>
    <row r="14">
      <c r="A14" s="2" t="s">
        <v>41</v>
      </c>
      <c r="B14" s="3" t="s">
        <v>42</v>
      </c>
      <c r="C14" s="4" t="s">
        <v>43</v>
      </c>
      <c r="D14" s="2">
        <v>5.0</v>
      </c>
      <c r="E14" s="5">
        <v>45765.0</v>
      </c>
      <c r="F14" s="2" t="str">
        <f>VLOOKUP(B14,Customers!A:B,2,FALSE)</f>
        <v>Rahul mann</v>
      </c>
      <c r="G14" s="2" t="str">
        <f>VLOOKUP(C14,Products!A:B,2,FALSE)</f>
        <v>Headphones</v>
      </c>
      <c r="H14" s="2" t="str">
        <f>VLOOKUP(C14,Products!A:C,3,FALSE)</f>
        <v>Accessories</v>
      </c>
      <c r="I14" s="2">
        <f>VLOOKUP(C14,Products!A:D,4,FALSE)</f>
        <v>1821</v>
      </c>
      <c r="J14" s="2">
        <f t="shared" si="1"/>
        <v>9105</v>
      </c>
    </row>
    <row r="15">
      <c r="A15" s="2" t="s">
        <v>44</v>
      </c>
      <c r="B15" s="3" t="s">
        <v>28</v>
      </c>
      <c r="C15" s="4" t="s">
        <v>31</v>
      </c>
      <c r="D15" s="2">
        <v>1.0</v>
      </c>
      <c r="E15" s="5">
        <v>45734.0</v>
      </c>
      <c r="F15" s="2" t="str">
        <f>VLOOKUP(B15,Customers!A:B,2,FALSE)</f>
        <v>David sun</v>
      </c>
      <c r="G15" s="2" t="str">
        <f>VLOOKUP(C15,Products!A:B,2,FALSE)</f>
        <v>Monitor</v>
      </c>
      <c r="H15" s="2" t="str">
        <f>VLOOKUP(C15,Products!A:C,3,FALSE)</f>
        <v>Electronics</v>
      </c>
      <c r="I15" s="2">
        <f>VLOOKUP(C15,Products!A:D,4,FALSE)</f>
        <v>63079</v>
      </c>
      <c r="J15" s="2">
        <f t="shared" si="1"/>
        <v>63079</v>
      </c>
    </row>
    <row r="16">
      <c r="A16" s="2" t="s">
        <v>45</v>
      </c>
      <c r="B16" s="3" t="s">
        <v>46</v>
      </c>
      <c r="C16" s="4" t="s">
        <v>21</v>
      </c>
      <c r="D16" s="2">
        <v>5.0</v>
      </c>
      <c r="E16" s="5">
        <v>45813.0</v>
      </c>
      <c r="F16" s="2" t="str">
        <f>VLOOKUP(B16,Customers!A:B,2,FALSE)</f>
        <v>Sara Khan </v>
      </c>
      <c r="G16" s="2" t="str">
        <f>VLOOKUP(C16,Products!A:B,2,FALSE)</f>
        <v>Mouse</v>
      </c>
      <c r="H16" s="2" t="str">
        <f>VLOOKUP(C16,Products!A:C,3,FALSE)</f>
        <v>Accessories</v>
      </c>
      <c r="I16" s="2">
        <f>VLOOKUP(C16,Products!A:D,4,FALSE)</f>
        <v>3649</v>
      </c>
      <c r="J16" s="2">
        <f t="shared" si="1"/>
        <v>18245</v>
      </c>
    </row>
    <row r="17">
      <c r="A17" s="2" t="s">
        <v>47</v>
      </c>
      <c r="B17" s="3" t="s">
        <v>48</v>
      </c>
      <c r="C17" s="4" t="s">
        <v>49</v>
      </c>
      <c r="D17" s="2">
        <v>2.0</v>
      </c>
      <c r="E17" s="5">
        <v>45835.0</v>
      </c>
      <c r="F17" s="2" t="str">
        <f>VLOOKUP(B17,Customers!A:B,2,FALSE)</f>
        <v>Neha Kumari</v>
      </c>
      <c r="G17" s="2" t="str">
        <f>VLOOKUP(C17,Products!A:B,2,FALSE)</f>
        <v>Tablet</v>
      </c>
      <c r="H17" s="2" t="str">
        <f>VLOOKUP(C17,Products!A:C,3,FALSE)</f>
        <v>Electronics</v>
      </c>
      <c r="I17" s="2">
        <f>VLOOKUP(C17,Products!A:D,4,FALSE)</f>
        <v>40192</v>
      </c>
      <c r="J17" s="2">
        <f t="shared" si="1"/>
        <v>80384</v>
      </c>
    </row>
    <row r="18">
      <c r="A18" s="2" t="s">
        <v>50</v>
      </c>
      <c r="B18" s="3" t="s">
        <v>51</v>
      </c>
      <c r="C18" s="4" t="s">
        <v>18</v>
      </c>
      <c r="D18" s="2">
        <v>4.0</v>
      </c>
      <c r="E18" s="5">
        <v>45740.0</v>
      </c>
      <c r="F18" s="2" t="str">
        <f>VLOOKUP(B18,Customers!A:B,2,FALSE)</f>
        <v>David sun</v>
      </c>
      <c r="G18" s="2" t="str">
        <f>VLOOKUP(C18,Products!A:B,2,FALSE)</f>
        <v>Headphones</v>
      </c>
      <c r="H18" s="2" t="str">
        <f>VLOOKUP(C18,Products!A:C,3,FALSE)</f>
        <v>Accessories</v>
      </c>
      <c r="I18" s="2">
        <f>VLOOKUP(C18,Products!A:D,4,FALSE)</f>
        <v>2760</v>
      </c>
      <c r="J18" s="2">
        <f t="shared" si="1"/>
        <v>11040</v>
      </c>
    </row>
    <row r="19">
      <c r="A19" s="2" t="s">
        <v>52</v>
      </c>
      <c r="B19" s="3" t="s">
        <v>53</v>
      </c>
      <c r="C19" s="4" t="s">
        <v>31</v>
      </c>
      <c r="D19" s="2">
        <v>2.0</v>
      </c>
      <c r="E19" s="5">
        <v>45823.0</v>
      </c>
      <c r="F19" s="2" t="str">
        <f>VLOOKUP(B19,Customers!A:B,2,FALSE)</f>
        <v>Aisha Malhotra</v>
      </c>
      <c r="G19" s="2" t="str">
        <f>VLOOKUP(C19,Products!A:B,2,FALSE)</f>
        <v>Monitor</v>
      </c>
      <c r="H19" s="2" t="str">
        <f>VLOOKUP(C19,Products!A:C,3,FALSE)</f>
        <v>Electronics</v>
      </c>
      <c r="I19" s="2">
        <f>VLOOKUP(C19,Products!A:D,4,FALSE)</f>
        <v>63079</v>
      </c>
      <c r="J19" s="2">
        <f t="shared" si="1"/>
        <v>126158</v>
      </c>
    </row>
    <row r="20">
      <c r="A20" s="2" t="s">
        <v>54</v>
      </c>
      <c r="B20" s="3" t="s">
        <v>37</v>
      </c>
      <c r="C20" s="4" t="s">
        <v>55</v>
      </c>
      <c r="D20" s="2">
        <v>2.0</v>
      </c>
      <c r="E20" s="5">
        <v>45761.0</v>
      </c>
      <c r="F20" s="2" t="str">
        <f>VLOOKUP(B20,Customers!A:B,2,FALSE)</f>
        <v>Arjun Sharma</v>
      </c>
      <c r="G20" s="2" t="str">
        <f>VLOOKUP(C20,Products!A:B,2,FALSE)</f>
        <v>Speaker</v>
      </c>
      <c r="H20" s="2" t="str">
        <f>VLOOKUP(C20,Products!A:C,3,FALSE)</f>
        <v>Accessories</v>
      </c>
      <c r="I20" s="2">
        <f>VLOOKUP(C20,Products!A:D,4,FALSE)</f>
        <v>3408</v>
      </c>
      <c r="J20" s="2">
        <f t="shared" si="1"/>
        <v>6816</v>
      </c>
    </row>
    <row r="21">
      <c r="A21" s="2" t="s">
        <v>56</v>
      </c>
      <c r="B21" s="3" t="s">
        <v>33</v>
      </c>
      <c r="C21" s="4" t="s">
        <v>57</v>
      </c>
      <c r="D21" s="2">
        <v>4.0</v>
      </c>
      <c r="E21" s="5">
        <v>45676.0</v>
      </c>
      <c r="F21" s="2" t="str">
        <f>VLOOKUP(B21,Customers!A:B,2,FALSE)</f>
        <v>Vikram Roy</v>
      </c>
      <c r="G21" s="2" t="str">
        <f>VLOOKUP(C21,Products!A:B,2,FALSE)</f>
        <v>Smartwatch</v>
      </c>
      <c r="H21" s="2" t="str">
        <f>VLOOKUP(C21,Products!A:C,3,FALSE)</f>
        <v>Electronics</v>
      </c>
      <c r="I21" s="2">
        <f>VLOOKUP(C21,Products!A:D,4,FALSE)</f>
        <v>20151</v>
      </c>
      <c r="J21" s="2">
        <f t="shared" si="1"/>
        <v>80604</v>
      </c>
    </row>
    <row r="22">
      <c r="A22" s="2" t="s">
        <v>58</v>
      </c>
      <c r="B22" s="3" t="s">
        <v>26</v>
      </c>
      <c r="C22" s="4" t="s">
        <v>31</v>
      </c>
      <c r="D22" s="2">
        <v>3.0</v>
      </c>
      <c r="E22" s="5">
        <v>45793.0</v>
      </c>
      <c r="F22" s="2" t="str">
        <f>VLOOKUP(B22,Customers!A:B,2,FALSE)</f>
        <v>Neha Kumari</v>
      </c>
      <c r="G22" s="2" t="str">
        <f>VLOOKUP(C22,Products!A:B,2,FALSE)</f>
        <v>Monitor</v>
      </c>
      <c r="H22" s="2" t="str">
        <f>VLOOKUP(C22,Products!A:C,3,FALSE)</f>
        <v>Electronics</v>
      </c>
      <c r="I22" s="2">
        <f>VLOOKUP(C22,Products!A:D,4,FALSE)</f>
        <v>63079</v>
      </c>
      <c r="J22" s="2">
        <f t="shared" si="1"/>
        <v>189237</v>
      </c>
    </row>
    <row r="23">
      <c r="A23" s="2" t="s">
        <v>59</v>
      </c>
      <c r="B23" s="3" t="s">
        <v>60</v>
      </c>
      <c r="C23" s="4" t="s">
        <v>55</v>
      </c>
      <c r="D23" s="2">
        <v>1.0</v>
      </c>
      <c r="E23" s="5">
        <v>45670.0</v>
      </c>
      <c r="F23" s="2" t="str">
        <f>VLOOKUP(B23,Customers!A:B,2,FALSE)</f>
        <v>Priya Verma</v>
      </c>
      <c r="G23" s="2" t="str">
        <f>VLOOKUP(C23,Products!A:B,2,FALSE)</f>
        <v>Speaker</v>
      </c>
      <c r="H23" s="2" t="str">
        <f>VLOOKUP(C23,Products!A:C,3,FALSE)</f>
        <v>Accessories</v>
      </c>
      <c r="I23" s="2">
        <f>VLOOKUP(C23,Products!A:D,4,FALSE)</f>
        <v>3408</v>
      </c>
      <c r="J23" s="2">
        <f t="shared" si="1"/>
        <v>3408</v>
      </c>
    </row>
    <row r="24">
      <c r="A24" s="2" t="s">
        <v>61</v>
      </c>
      <c r="B24" s="3" t="s">
        <v>62</v>
      </c>
      <c r="C24" s="4" t="s">
        <v>43</v>
      </c>
      <c r="D24" s="2">
        <v>3.0</v>
      </c>
      <c r="E24" s="5">
        <v>45659.0</v>
      </c>
      <c r="F24" s="2" t="str">
        <f>VLOOKUP(B24,Customers!A:B,2,FALSE)</f>
        <v>Rahul mann</v>
      </c>
      <c r="G24" s="2" t="str">
        <f>VLOOKUP(C24,Products!A:B,2,FALSE)</f>
        <v>Headphones</v>
      </c>
      <c r="H24" s="2" t="str">
        <f>VLOOKUP(C24,Products!A:C,3,FALSE)</f>
        <v>Accessories</v>
      </c>
      <c r="I24" s="2">
        <f>VLOOKUP(C24,Products!A:D,4,FALSE)</f>
        <v>1821</v>
      </c>
      <c r="J24" s="2">
        <f t="shared" si="1"/>
        <v>5463</v>
      </c>
    </row>
    <row r="25">
      <c r="A25" s="2" t="s">
        <v>63</v>
      </c>
      <c r="B25" s="3" t="s">
        <v>64</v>
      </c>
      <c r="C25" s="4" t="s">
        <v>65</v>
      </c>
      <c r="D25" s="2">
        <v>3.0</v>
      </c>
      <c r="E25" s="5">
        <v>45808.0</v>
      </c>
      <c r="F25" s="2" t="str">
        <f>VLOOKUP(B25,Customers!A:B,2,FALSE)</f>
        <v>John Smith</v>
      </c>
      <c r="G25" s="2" t="str">
        <f>VLOOKUP(C25,Products!A:B,2,FALSE)</f>
        <v>Mouse</v>
      </c>
      <c r="H25" s="2" t="str">
        <f>VLOOKUP(C25,Products!A:C,3,FALSE)</f>
        <v>Accessories</v>
      </c>
      <c r="I25" s="2">
        <f>VLOOKUP(C25,Products!A:D,4,FALSE)</f>
        <v>2899</v>
      </c>
      <c r="J25" s="2">
        <f t="shared" si="1"/>
        <v>8697</v>
      </c>
    </row>
    <row r="26">
      <c r="A26" s="2" t="s">
        <v>66</v>
      </c>
      <c r="B26" s="3" t="s">
        <v>67</v>
      </c>
      <c r="C26" s="4" t="s">
        <v>15</v>
      </c>
      <c r="D26" s="2">
        <v>4.0</v>
      </c>
      <c r="E26" s="5">
        <v>45780.0</v>
      </c>
      <c r="F26" s="2" t="str">
        <f>VLOOKUP(B26,Customers!A:B,2,FALSE)</f>
        <v>Sara Khan </v>
      </c>
      <c r="G26" s="2" t="str">
        <f>VLOOKUP(C26,Products!A:B,2,FALSE)</f>
        <v>Phone</v>
      </c>
      <c r="H26" s="2" t="str">
        <f>VLOOKUP(C26,Products!A:C,3,FALSE)</f>
        <v>Electronics</v>
      </c>
      <c r="I26" s="2">
        <f>VLOOKUP(C26,Products!A:D,4,FALSE)</f>
        <v>59549</v>
      </c>
      <c r="J26" s="2">
        <f t="shared" si="1"/>
        <v>238196</v>
      </c>
    </row>
    <row r="27">
      <c r="A27" s="2" t="s">
        <v>68</v>
      </c>
      <c r="B27" s="3" t="s">
        <v>69</v>
      </c>
      <c r="C27" s="4" t="s">
        <v>70</v>
      </c>
      <c r="D27" s="2">
        <v>5.0</v>
      </c>
      <c r="E27" s="5">
        <v>45837.0</v>
      </c>
      <c r="F27" s="2" t="str">
        <f>VLOOKUP(B27,Customers!A:B,2,FALSE)</f>
        <v>Neha Kumari</v>
      </c>
      <c r="G27" s="2" t="str">
        <f>VLOOKUP(C27,Products!A:B,2,FALSE)</f>
        <v>Tablet</v>
      </c>
      <c r="H27" s="2" t="str">
        <f>VLOOKUP(C27,Products!A:C,3,FALSE)</f>
        <v>Electronics</v>
      </c>
      <c r="I27" s="2">
        <f>VLOOKUP(C27,Products!A:D,4,FALSE)</f>
        <v>45245</v>
      </c>
      <c r="J27" s="2">
        <f t="shared" si="1"/>
        <v>226225</v>
      </c>
    </row>
    <row r="28">
      <c r="A28" s="2" t="s">
        <v>71</v>
      </c>
      <c r="B28" s="3" t="s">
        <v>23</v>
      </c>
      <c r="C28" s="4" t="s">
        <v>65</v>
      </c>
      <c r="D28" s="2">
        <v>1.0</v>
      </c>
      <c r="E28" s="5">
        <v>45676.0</v>
      </c>
      <c r="F28" s="2" t="str">
        <f>VLOOKUP(B28,Customers!A:B,2,FALSE)</f>
        <v>Sara Khan </v>
      </c>
      <c r="G28" s="2" t="str">
        <f>VLOOKUP(C28,Products!A:B,2,FALSE)</f>
        <v>Mouse</v>
      </c>
      <c r="H28" s="2" t="str">
        <f>VLOOKUP(C28,Products!A:C,3,FALSE)</f>
        <v>Accessories</v>
      </c>
      <c r="I28" s="2">
        <f>VLOOKUP(C28,Products!A:D,4,FALSE)</f>
        <v>2899</v>
      </c>
      <c r="J28" s="2">
        <f t="shared" si="1"/>
        <v>2899</v>
      </c>
    </row>
    <row r="29">
      <c r="A29" s="2" t="s">
        <v>72</v>
      </c>
      <c r="B29" s="3" t="s">
        <v>46</v>
      </c>
      <c r="C29" s="4" t="s">
        <v>31</v>
      </c>
      <c r="D29" s="2">
        <v>1.0</v>
      </c>
      <c r="E29" s="5">
        <v>45730.0</v>
      </c>
      <c r="F29" s="2" t="str">
        <f>VLOOKUP(B29,Customers!A:B,2,FALSE)</f>
        <v>Sara Khan </v>
      </c>
      <c r="G29" s="2" t="str">
        <f>VLOOKUP(C29,Products!A:B,2,FALSE)</f>
        <v>Monitor</v>
      </c>
      <c r="H29" s="2" t="str">
        <f>VLOOKUP(C29,Products!A:C,3,FALSE)</f>
        <v>Electronics</v>
      </c>
      <c r="I29" s="2">
        <f>VLOOKUP(C29,Products!A:D,4,FALSE)</f>
        <v>63079</v>
      </c>
      <c r="J29" s="2">
        <f t="shared" si="1"/>
        <v>63079</v>
      </c>
    </row>
    <row r="30">
      <c r="A30" s="2" t="s">
        <v>73</v>
      </c>
      <c r="B30" s="3" t="s">
        <v>26</v>
      </c>
      <c r="C30" s="4" t="s">
        <v>43</v>
      </c>
      <c r="D30" s="2">
        <v>1.0</v>
      </c>
      <c r="E30" s="5">
        <v>45787.0</v>
      </c>
      <c r="F30" s="2" t="str">
        <f>VLOOKUP(B30,Customers!A:B,2,FALSE)</f>
        <v>Neha Kumari</v>
      </c>
      <c r="G30" s="2" t="str">
        <f>VLOOKUP(C30,Products!A:B,2,FALSE)</f>
        <v>Headphones</v>
      </c>
      <c r="H30" s="2" t="str">
        <f>VLOOKUP(C30,Products!A:C,3,FALSE)</f>
        <v>Accessories</v>
      </c>
      <c r="I30" s="2">
        <f>VLOOKUP(C30,Products!A:D,4,FALSE)</f>
        <v>1821</v>
      </c>
      <c r="J30" s="2">
        <f t="shared" si="1"/>
        <v>1821</v>
      </c>
    </row>
    <row r="31">
      <c r="A31" s="2" t="s">
        <v>74</v>
      </c>
      <c r="B31" s="3" t="s">
        <v>46</v>
      </c>
      <c r="C31" s="4" t="s">
        <v>75</v>
      </c>
      <c r="D31" s="2">
        <v>4.0</v>
      </c>
      <c r="E31" s="5">
        <v>45772.0</v>
      </c>
      <c r="F31" s="2" t="str">
        <f>VLOOKUP(B31,Customers!A:B,2,FALSE)</f>
        <v>Sara Khan </v>
      </c>
      <c r="G31" s="2" t="str">
        <f>VLOOKUP(C31,Products!A:B,2,FALSE)</f>
        <v>Smartwatch</v>
      </c>
      <c r="H31" s="2" t="str">
        <f>VLOOKUP(C31,Products!A:C,3,FALSE)</f>
        <v>Electronics</v>
      </c>
      <c r="I31" s="2">
        <f>VLOOKUP(C31,Products!A:D,4,FALSE)</f>
        <v>61749</v>
      </c>
      <c r="J31" s="2">
        <f t="shared" si="1"/>
        <v>246996</v>
      </c>
    </row>
    <row r="32">
      <c r="A32" s="2" t="s">
        <v>76</v>
      </c>
      <c r="B32" s="3" t="s">
        <v>77</v>
      </c>
      <c r="C32" s="4" t="s">
        <v>35</v>
      </c>
      <c r="D32" s="2">
        <v>1.0</v>
      </c>
      <c r="E32" s="5">
        <v>45768.0</v>
      </c>
      <c r="F32" s="2" t="str">
        <f>VLOOKUP(B32,Customers!A:B,2,FALSE)</f>
        <v>Arjun Sharma</v>
      </c>
      <c r="G32" s="2" t="str">
        <f>VLOOKUP(C32,Products!A:B,2,FALSE)</f>
        <v>Smartwatch</v>
      </c>
      <c r="H32" s="2" t="str">
        <f>VLOOKUP(C32,Products!A:C,3,FALSE)</f>
        <v>Electronics</v>
      </c>
      <c r="I32" s="2">
        <f>VLOOKUP(C32,Products!A:D,4,FALSE)</f>
        <v>49383</v>
      </c>
      <c r="J32" s="2">
        <f t="shared" si="1"/>
        <v>49383</v>
      </c>
    </row>
    <row r="33">
      <c r="A33" s="2" t="s">
        <v>78</v>
      </c>
      <c r="B33" s="3" t="s">
        <v>79</v>
      </c>
      <c r="C33" s="4" t="s">
        <v>80</v>
      </c>
      <c r="D33" s="2">
        <v>2.0</v>
      </c>
      <c r="E33" s="5">
        <v>45730.0</v>
      </c>
      <c r="F33" s="2" t="str">
        <f>VLOOKUP(B33,Customers!A:B,2,FALSE)</f>
        <v>Priya Verma</v>
      </c>
      <c r="G33" s="2" t="str">
        <f>VLOOKUP(C33,Products!A:B,2,FALSE)</f>
        <v>Phone</v>
      </c>
      <c r="H33" s="2" t="str">
        <f>VLOOKUP(C33,Products!A:C,3,FALSE)</f>
        <v>Electronics</v>
      </c>
      <c r="I33" s="2">
        <f>VLOOKUP(C33,Products!A:D,4,FALSE)</f>
        <v>21434</v>
      </c>
      <c r="J33" s="2">
        <f t="shared" si="1"/>
        <v>42868</v>
      </c>
    </row>
    <row r="34">
      <c r="A34" s="2" t="s">
        <v>81</v>
      </c>
      <c r="B34" s="3" t="s">
        <v>69</v>
      </c>
      <c r="C34" s="4" t="s">
        <v>80</v>
      </c>
      <c r="D34" s="2">
        <v>5.0</v>
      </c>
      <c r="E34" s="5">
        <v>45714.0</v>
      </c>
      <c r="F34" s="2" t="str">
        <f>VLOOKUP(B34,Customers!A:B,2,FALSE)</f>
        <v>Neha Kumari</v>
      </c>
      <c r="G34" s="2" t="str">
        <f>VLOOKUP(C34,Products!A:B,2,FALSE)</f>
        <v>Phone</v>
      </c>
      <c r="H34" s="2" t="str">
        <f>VLOOKUP(C34,Products!A:C,3,FALSE)</f>
        <v>Electronics</v>
      </c>
      <c r="I34" s="2">
        <f>VLOOKUP(C34,Products!A:D,4,FALSE)</f>
        <v>21434</v>
      </c>
      <c r="J34" s="2">
        <f t="shared" si="1"/>
        <v>107170</v>
      </c>
    </row>
    <row r="35">
      <c r="A35" s="2" t="s">
        <v>82</v>
      </c>
      <c r="B35" s="3" t="s">
        <v>83</v>
      </c>
      <c r="C35" s="4" t="s">
        <v>24</v>
      </c>
      <c r="D35" s="2">
        <v>5.0</v>
      </c>
      <c r="E35" s="5">
        <v>45669.0</v>
      </c>
      <c r="F35" s="2" t="str">
        <f>VLOOKUP(B35,Customers!A:B,2,FALSE)</f>
        <v>John Smith</v>
      </c>
      <c r="G35" s="2" t="str">
        <f>VLOOKUP(C35,Products!A:B,2,FALSE)</f>
        <v>Keyboard</v>
      </c>
      <c r="H35" s="2" t="str">
        <f>VLOOKUP(C35,Products!A:C,3,FALSE)</f>
        <v>Accessories</v>
      </c>
      <c r="I35" s="2">
        <f>VLOOKUP(C35,Products!A:D,4,FALSE)</f>
        <v>2426</v>
      </c>
      <c r="J35" s="2">
        <f t="shared" si="1"/>
        <v>12130</v>
      </c>
    </row>
    <row r="36">
      <c r="A36" s="2" t="s">
        <v>84</v>
      </c>
      <c r="B36" s="3" t="s">
        <v>62</v>
      </c>
      <c r="C36" s="4" t="s">
        <v>80</v>
      </c>
      <c r="D36" s="2">
        <v>3.0</v>
      </c>
      <c r="E36" s="5">
        <v>45775.0</v>
      </c>
      <c r="F36" s="2" t="str">
        <f>VLOOKUP(B36,Customers!A:B,2,FALSE)</f>
        <v>Rahul mann</v>
      </c>
      <c r="G36" s="2" t="str">
        <f>VLOOKUP(C36,Products!A:B,2,FALSE)</f>
        <v>Phone</v>
      </c>
      <c r="H36" s="2" t="str">
        <f>VLOOKUP(C36,Products!A:C,3,FALSE)</f>
        <v>Electronics</v>
      </c>
      <c r="I36" s="2">
        <f>VLOOKUP(C36,Products!A:D,4,FALSE)</f>
        <v>21434</v>
      </c>
      <c r="J36" s="2">
        <f t="shared" si="1"/>
        <v>64302</v>
      </c>
    </row>
    <row r="37">
      <c r="A37" s="2" t="s">
        <v>85</v>
      </c>
      <c r="B37" s="3" t="s">
        <v>86</v>
      </c>
      <c r="C37" s="4" t="s">
        <v>87</v>
      </c>
      <c r="D37" s="2">
        <v>4.0</v>
      </c>
      <c r="E37" s="5">
        <v>45659.0</v>
      </c>
      <c r="F37" s="2" t="str">
        <f>VLOOKUP(B37,Customers!A:B,2,FALSE)</f>
        <v>Neha Kumari</v>
      </c>
      <c r="G37" s="2" t="str">
        <f>VLOOKUP(C37,Products!A:B,2,FALSE)</f>
        <v>Tablet</v>
      </c>
      <c r="H37" s="2" t="str">
        <f>VLOOKUP(C37,Products!A:C,3,FALSE)</f>
        <v>Electronics</v>
      </c>
      <c r="I37" s="2">
        <f>VLOOKUP(C37,Products!A:D,4,FALSE)</f>
        <v>65755</v>
      </c>
      <c r="J37" s="2">
        <f t="shared" si="1"/>
        <v>263020</v>
      </c>
    </row>
    <row r="38">
      <c r="A38" s="2" t="s">
        <v>88</v>
      </c>
      <c r="B38" s="3" t="s">
        <v>37</v>
      </c>
      <c r="C38" s="4" t="s">
        <v>18</v>
      </c>
      <c r="D38" s="2">
        <v>4.0</v>
      </c>
      <c r="E38" s="5">
        <v>45719.0</v>
      </c>
      <c r="F38" s="2" t="str">
        <f>VLOOKUP(B38,Customers!A:B,2,FALSE)</f>
        <v>Arjun Sharma</v>
      </c>
      <c r="G38" s="2" t="str">
        <f>VLOOKUP(C38,Products!A:B,2,FALSE)</f>
        <v>Headphones</v>
      </c>
      <c r="H38" s="2" t="str">
        <f>VLOOKUP(C38,Products!A:C,3,FALSE)</f>
        <v>Accessories</v>
      </c>
      <c r="I38" s="2">
        <f>VLOOKUP(C38,Products!A:D,4,FALSE)</f>
        <v>2760</v>
      </c>
      <c r="J38" s="2">
        <f t="shared" si="1"/>
        <v>11040</v>
      </c>
    </row>
    <row r="39">
      <c r="A39" s="2" t="s">
        <v>89</v>
      </c>
      <c r="B39" s="3" t="s">
        <v>90</v>
      </c>
      <c r="C39" s="4" t="s">
        <v>87</v>
      </c>
      <c r="D39" s="2">
        <v>1.0</v>
      </c>
      <c r="E39" s="5">
        <v>45683.0</v>
      </c>
      <c r="F39" s="2" t="str">
        <f>VLOOKUP(B39,Customers!A:B,2,FALSE)</f>
        <v>Aisha Malhotra</v>
      </c>
      <c r="G39" s="2" t="str">
        <f>VLOOKUP(C39,Products!A:B,2,FALSE)</f>
        <v>Tablet</v>
      </c>
      <c r="H39" s="2" t="str">
        <f>VLOOKUP(C39,Products!A:C,3,FALSE)</f>
        <v>Electronics</v>
      </c>
      <c r="I39" s="2">
        <f>VLOOKUP(C39,Products!A:D,4,FALSE)</f>
        <v>65755</v>
      </c>
      <c r="J39" s="2">
        <f t="shared" si="1"/>
        <v>65755</v>
      </c>
    </row>
    <row r="40">
      <c r="A40" s="2" t="s">
        <v>91</v>
      </c>
      <c r="B40" s="3" t="s">
        <v>37</v>
      </c>
      <c r="C40" s="4" t="s">
        <v>15</v>
      </c>
      <c r="D40" s="2">
        <v>2.0</v>
      </c>
      <c r="E40" s="5">
        <v>45763.0</v>
      </c>
      <c r="F40" s="2" t="str">
        <f>VLOOKUP(B40,Customers!A:B,2,FALSE)</f>
        <v>Arjun Sharma</v>
      </c>
      <c r="G40" s="2" t="str">
        <f>VLOOKUP(C40,Products!A:B,2,FALSE)</f>
        <v>Phone</v>
      </c>
      <c r="H40" s="2" t="str">
        <f>VLOOKUP(C40,Products!A:C,3,FALSE)</f>
        <v>Electronics</v>
      </c>
      <c r="I40" s="2">
        <f>VLOOKUP(C40,Products!A:D,4,FALSE)</f>
        <v>59549</v>
      </c>
      <c r="J40" s="2">
        <f t="shared" si="1"/>
        <v>119098</v>
      </c>
    </row>
    <row r="41">
      <c r="A41" s="2" t="s">
        <v>92</v>
      </c>
      <c r="B41" s="3" t="s">
        <v>93</v>
      </c>
      <c r="C41" s="4" t="s">
        <v>21</v>
      </c>
      <c r="D41" s="2">
        <v>1.0</v>
      </c>
      <c r="E41" s="5">
        <v>45717.0</v>
      </c>
      <c r="F41" s="2" t="str">
        <f>VLOOKUP(B41,Customers!A:B,2,FALSE)</f>
        <v>Meera</v>
      </c>
      <c r="G41" s="2" t="str">
        <f>VLOOKUP(C41,Products!A:B,2,FALSE)</f>
        <v>Mouse</v>
      </c>
      <c r="H41" s="2" t="str">
        <f>VLOOKUP(C41,Products!A:C,3,FALSE)</f>
        <v>Accessories</v>
      </c>
      <c r="I41" s="2">
        <f>VLOOKUP(C41,Products!A:D,4,FALSE)</f>
        <v>3649</v>
      </c>
      <c r="J41" s="2">
        <f t="shared" si="1"/>
        <v>3649</v>
      </c>
    </row>
    <row r="42">
      <c r="A42" s="2" t="s">
        <v>94</v>
      </c>
      <c r="B42" s="3" t="s">
        <v>95</v>
      </c>
      <c r="C42" s="4" t="s">
        <v>31</v>
      </c>
      <c r="D42" s="2">
        <v>2.0</v>
      </c>
      <c r="E42" s="5">
        <v>45756.0</v>
      </c>
      <c r="F42" s="2" t="str">
        <f>VLOOKUP(B42,Customers!A:B,2,FALSE)</f>
        <v>Arjun Sharma</v>
      </c>
      <c r="G42" s="2" t="str">
        <f>VLOOKUP(C42,Products!A:B,2,FALSE)</f>
        <v>Monitor</v>
      </c>
      <c r="H42" s="2" t="str">
        <f>VLOOKUP(C42,Products!A:C,3,FALSE)</f>
        <v>Electronics</v>
      </c>
      <c r="I42" s="2">
        <f>VLOOKUP(C42,Products!A:D,4,FALSE)</f>
        <v>63079</v>
      </c>
      <c r="J42" s="2">
        <f t="shared" si="1"/>
        <v>126158</v>
      </c>
    </row>
    <row r="43">
      <c r="A43" s="2" t="s">
        <v>96</v>
      </c>
      <c r="B43" s="3" t="s">
        <v>69</v>
      </c>
      <c r="C43" s="4" t="s">
        <v>65</v>
      </c>
      <c r="D43" s="2">
        <v>5.0</v>
      </c>
      <c r="E43" s="5">
        <v>45795.0</v>
      </c>
      <c r="F43" s="2" t="str">
        <f>VLOOKUP(B43,Customers!A:B,2,FALSE)</f>
        <v>Neha Kumari</v>
      </c>
      <c r="G43" s="2" t="str">
        <f>VLOOKUP(C43,Products!A:B,2,FALSE)</f>
        <v>Mouse</v>
      </c>
      <c r="H43" s="2" t="str">
        <f>VLOOKUP(C43,Products!A:C,3,FALSE)</f>
        <v>Accessories</v>
      </c>
      <c r="I43" s="2">
        <f>VLOOKUP(C43,Products!A:D,4,FALSE)</f>
        <v>2899</v>
      </c>
      <c r="J43" s="2">
        <f t="shared" si="1"/>
        <v>14495</v>
      </c>
    </row>
    <row r="44">
      <c r="A44" s="2" t="s">
        <v>97</v>
      </c>
      <c r="B44" s="3" t="s">
        <v>98</v>
      </c>
      <c r="C44" s="4" t="s">
        <v>18</v>
      </c>
      <c r="D44" s="2">
        <v>3.0</v>
      </c>
      <c r="E44" s="5">
        <v>45826.0</v>
      </c>
      <c r="F44" s="2" t="str">
        <f>VLOOKUP(B44,Customers!A:B,2,FALSE)</f>
        <v>Rahul mann</v>
      </c>
      <c r="G44" s="2" t="str">
        <f>VLOOKUP(C44,Products!A:B,2,FALSE)</f>
        <v>Headphones</v>
      </c>
      <c r="H44" s="2" t="str">
        <f>VLOOKUP(C44,Products!A:C,3,FALSE)</f>
        <v>Accessories</v>
      </c>
      <c r="I44" s="2">
        <f>VLOOKUP(C44,Products!A:D,4,FALSE)</f>
        <v>2760</v>
      </c>
      <c r="J44" s="2">
        <f t="shared" si="1"/>
        <v>8280</v>
      </c>
    </row>
    <row r="45">
      <c r="A45" s="2" t="s">
        <v>99</v>
      </c>
      <c r="B45" s="3" t="s">
        <v>100</v>
      </c>
      <c r="C45" s="4" t="s">
        <v>21</v>
      </c>
      <c r="D45" s="2">
        <v>1.0</v>
      </c>
      <c r="E45" s="5">
        <v>45675.0</v>
      </c>
      <c r="F45" s="2" t="str">
        <f>VLOOKUP(B45,Customers!A:B,2,FALSE)</f>
        <v>John Smith</v>
      </c>
      <c r="G45" s="2" t="str">
        <f>VLOOKUP(C45,Products!A:B,2,FALSE)</f>
        <v>Mouse</v>
      </c>
      <c r="H45" s="2" t="str">
        <f>VLOOKUP(C45,Products!A:C,3,FALSE)</f>
        <v>Accessories</v>
      </c>
      <c r="I45" s="2">
        <f>VLOOKUP(C45,Products!A:D,4,FALSE)</f>
        <v>3649</v>
      </c>
      <c r="J45" s="2">
        <f t="shared" si="1"/>
        <v>3649</v>
      </c>
    </row>
    <row r="46">
      <c r="A46" s="2" t="s">
        <v>101</v>
      </c>
      <c r="B46" s="3" t="s">
        <v>102</v>
      </c>
      <c r="C46" s="4" t="s">
        <v>80</v>
      </c>
      <c r="D46" s="2">
        <v>3.0</v>
      </c>
      <c r="E46" s="5">
        <v>45820.0</v>
      </c>
      <c r="F46" s="2" t="str">
        <f>VLOOKUP(B46,Customers!A:B,2,FALSE)</f>
        <v>Sara Khan </v>
      </c>
      <c r="G46" s="2" t="str">
        <f>VLOOKUP(C46,Products!A:B,2,FALSE)</f>
        <v>Phone</v>
      </c>
      <c r="H46" s="2" t="str">
        <f>VLOOKUP(C46,Products!A:C,3,FALSE)</f>
        <v>Electronics</v>
      </c>
      <c r="I46" s="2">
        <f>VLOOKUP(C46,Products!A:D,4,FALSE)</f>
        <v>21434</v>
      </c>
      <c r="J46" s="2">
        <f t="shared" si="1"/>
        <v>64302</v>
      </c>
    </row>
    <row r="47">
      <c r="A47" s="2" t="s">
        <v>103</v>
      </c>
      <c r="B47" s="3" t="s">
        <v>86</v>
      </c>
      <c r="C47" s="4" t="s">
        <v>104</v>
      </c>
      <c r="D47" s="2">
        <v>4.0</v>
      </c>
      <c r="E47" s="5">
        <v>45673.0</v>
      </c>
      <c r="F47" s="2" t="str">
        <f>VLOOKUP(B47,Customers!A:B,2,FALSE)</f>
        <v>Neha Kumari</v>
      </c>
      <c r="G47" s="2" t="str">
        <f>VLOOKUP(C47,Products!A:B,2,FALSE)</f>
        <v>Tablet</v>
      </c>
      <c r="H47" s="2" t="str">
        <f>VLOOKUP(C47,Products!A:C,3,FALSE)</f>
        <v>Electronics</v>
      </c>
      <c r="I47" s="2">
        <f>VLOOKUP(C47,Products!A:D,4,FALSE)</f>
        <v>61889</v>
      </c>
      <c r="J47" s="2">
        <f t="shared" si="1"/>
        <v>247556</v>
      </c>
    </row>
    <row r="48">
      <c r="A48" s="2" t="s">
        <v>105</v>
      </c>
      <c r="B48" s="3" t="s">
        <v>106</v>
      </c>
      <c r="C48" s="4" t="s">
        <v>24</v>
      </c>
      <c r="D48" s="2">
        <v>3.0</v>
      </c>
      <c r="E48" s="5">
        <v>45739.0</v>
      </c>
      <c r="F48" s="2" t="str">
        <f>VLOOKUP(B48,Customers!A:B,2,FALSE)</f>
        <v>David sun</v>
      </c>
      <c r="G48" s="2" t="str">
        <f>VLOOKUP(C48,Products!A:B,2,FALSE)</f>
        <v>Keyboard</v>
      </c>
      <c r="H48" s="2" t="str">
        <f>VLOOKUP(C48,Products!A:C,3,FALSE)</f>
        <v>Accessories</v>
      </c>
      <c r="I48" s="2">
        <f>VLOOKUP(C48,Products!A:D,4,FALSE)</f>
        <v>2426</v>
      </c>
      <c r="J48" s="2">
        <f t="shared" si="1"/>
        <v>7278</v>
      </c>
    </row>
    <row r="49">
      <c r="A49" s="2" t="s">
        <v>107</v>
      </c>
      <c r="B49" s="3" t="s">
        <v>108</v>
      </c>
      <c r="C49" s="4" t="s">
        <v>29</v>
      </c>
      <c r="D49" s="2">
        <v>4.0</v>
      </c>
      <c r="E49" s="5">
        <v>45820.0</v>
      </c>
      <c r="F49" s="2" t="str">
        <f>VLOOKUP(B49,Customers!A:B,2,FALSE)</f>
        <v>Aisha Malhotra</v>
      </c>
      <c r="G49" s="2" t="str">
        <f>VLOOKUP(C49,Products!A:B,2,FALSE)</f>
        <v>Charger</v>
      </c>
      <c r="H49" s="2" t="str">
        <f>VLOOKUP(C49,Products!A:C,3,FALSE)</f>
        <v>Accessories</v>
      </c>
      <c r="I49" s="2">
        <f>VLOOKUP(C49,Products!A:D,4,FALSE)</f>
        <v>586</v>
      </c>
      <c r="J49" s="2">
        <f t="shared" si="1"/>
        <v>2344</v>
      </c>
    </row>
    <row r="50">
      <c r="A50" s="2" t="s">
        <v>109</v>
      </c>
      <c r="B50" s="3" t="s">
        <v>110</v>
      </c>
      <c r="C50" s="4" t="s">
        <v>104</v>
      </c>
      <c r="D50" s="2">
        <v>2.0</v>
      </c>
      <c r="E50" s="5">
        <v>45767.0</v>
      </c>
      <c r="F50" s="2" t="str">
        <f>VLOOKUP(B50,Customers!A:B,2,FALSE)</f>
        <v>Vikram Roy</v>
      </c>
      <c r="G50" s="2" t="str">
        <f>VLOOKUP(C50,Products!A:B,2,FALSE)</f>
        <v>Tablet</v>
      </c>
      <c r="H50" s="2" t="str">
        <f>VLOOKUP(C50,Products!A:C,3,FALSE)</f>
        <v>Electronics</v>
      </c>
      <c r="I50" s="2">
        <f>VLOOKUP(C50,Products!A:D,4,FALSE)</f>
        <v>61889</v>
      </c>
      <c r="J50" s="2">
        <f t="shared" si="1"/>
        <v>123778</v>
      </c>
    </row>
    <row r="51">
      <c r="A51" s="2" t="s">
        <v>111</v>
      </c>
      <c r="B51" s="3" t="s">
        <v>23</v>
      </c>
      <c r="C51" s="4" t="s">
        <v>70</v>
      </c>
      <c r="D51" s="2">
        <v>2.0</v>
      </c>
      <c r="E51" s="5">
        <v>45678.0</v>
      </c>
      <c r="F51" s="2" t="str">
        <f>VLOOKUP(B51,Customers!A:B,2,FALSE)</f>
        <v>Sara Khan </v>
      </c>
      <c r="G51" s="2" t="str">
        <f>VLOOKUP(C51,Products!A:B,2,FALSE)</f>
        <v>Tablet</v>
      </c>
      <c r="H51" s="2" t="str">
        <f>VLOOKUP(C51,Products!A:C,3,FALSE)</f>
        <v>Electronics</v>
      </c>
      <c r="I51" s="2">
        <f>VLOOKUP(C51,Products!A:D,4,FALSE)</f>
        <v>45245</v>
      </c>
      <c r="J51" s="2">
        <f t="shared" si="1"/>
        <v>90490</v>
      </c>
    </row>
    <row r="52">
      <c r="A52" s="2" t="s">
        <v>112</v>
      </c>
      <c r="B52" s="3" t="s">
        <v>106</v>
      </c>
      <c r="C52" s="4" t="s">
        <v>70</v>
      </c>
      <c r="D52" s="2">
        <v>3.0</v>
      </c>
      <c r="E52" s="5">
        <v>45710.0</v>
      </c>
      <c r="F52" s="2" t="str">
        <f>VLOOKUP(B52,Customers!A:B,2,FALSE)</f>
        <v>David sun</v>
      </c>
      <c r="G52" s="2" t="str">
        <f>VLOOKUP(C52,Products!A:B,2,FALSE)</f>
        <v>Tablet</v>
      </c>
      <c r="H52" s="2" t="str">
        <f>VLOOKUP(C52,Products!A:C,3,FALSE)</f>
        <v>Electronics</v>
      </c>
      <c r="I52" s="2">
        <f>VLOOKUP(C52,Products!A:D,4,FALSE)</f>
        <v>45245</v>
      </c>
      <c r="J52" s="2">
        <f t="shared" si="1"/>
        <v>135735</v>
      </c>
    </row>
    <row r="53">
      <c r="A53" s="2" t="s">
        <v>113</v>
      </c>
      <c r="B53" s="3" t="s">
        <v>114</v>
      </c>
      <c r="C53" s="4" t="s">
        <v>24</v>
      </c>
      <c r="D53" s="2">
        <v>1.0</v>
      </c>
      <c r="E53" s="5">
        <v>45721.0</v>
      </c>
      <c r="F53" s="2" t="str">
        <f>VLOOKUP(B53,Customers!A:B,2,FALSE)</f>
        <v>Priya Verma</v>
      </c>
      <c r="G53" s="2" t="str">
        <f>VLOOKUP(C53,Products!A:B,2,FALSE)</f>
        <v>Keyboard</v>
      </c>
      <c r="H53" s="2" t="str">
        <f>VLOOKUP(C53,Products!A:C,3,FALSE)</f>
        <v>Accessories</v>
      </c>
      <c r="I53" s="2">
        <f>VLOOKUP(C53,Products!A:D,4,FALSE)</f>
        <v>2426</v>
      </c>
      <c r="J53" s="2">
        <f t="shared" si="1"/>
        <v>2426</v>
      </c>
    </row>
    <row r="54">
      <c r="A54" s="2" t="s">
        <v>115</v>
      </c>
      <c r="B54" s="3" t="s">
        <v>64</v>
      </c>
      <c r="C54" s="4" t="s">
        <v>43</v>
      </c>
      <c r="D54" s="2">
        <v>1.0</v>
      </c>
      <c r="E54" s="5">
        <v>45732.0</v>
      </c>
      <c r="F54" s="2" t="str">
        <f>VLOOKUP(B54,Customers!A:B,2,FALSE)</f>
        <v>John Smith</v>
      </c>
      <c r="G54" s="2" t="str">
        <f>VLOOKUP(C54,Products!A:B,2,FALSE)</f>
        <v>Headphones</v>
      </c>
      <c r="H54" s="2" t="str">
        <f>VLOOKUP(C54,Products!A:C,3,FALSE)</f>
        <v>Accessories</v>
      </c>
      <c r="I54" s="2">
        <f>VLOOKUP(C54,Products!A:D,4,FALSE)</f>
        <v>1821</v>
      </c>
      <c r="J54" s="2">
        <f t="shared" si="1"/>
        <v>1821</v>
      </c>
    </row>
    <row r="55">
      <c r="A55" s="2" t="s">
        <v>116</v>
      </c>
      <c r="B55" s="3" t="s">
        <v>33</v>
      </c>
      <c r="C55" s="4" t="s">
        <v>65</v>
      </c>
      <c r="D55" s="2">
        <v>5.0</v>
      </c>
      <c r="E55" s="5">
        <v>45787.0</v>
      </c>
      <c r="F55" s="2" t="str">
        <f>VLOOKUP(B55,Customers!A:B,2,FALSE)</f>
        <v>Vikram Roy</v>
      </c>
      <c r="G55" s="2" t="str">
        <f>VLOOKUP(C55,Products!A:B,2,FALSE)</f>
        <v>Mouse</v>
      </c>
      <c r="H55" s="2" t="str">
        <f>VLOOKUP(C55,Products!A:C,3,FALSE)</f>
        <v>Accessories</v>
      </c>
      <c r="I55" s="2">
        <f>VLOOKUP(C55,Products!A:D,4,FALSE)</f>
        <v>2899</v>
      </c>
      <c r="J55" s="2">
        <f t="shared" si="1"/>
        <v>14495</v>
      </c>
    </row>
    <row r="56">
      <c r="A56" s="2" t="s">
        <v>117</v>
      </c>
      <c r="B56" s="3" t="s">
        <v>118</v>
      </c>
      <c r="C56" s="4" t="s">
        <v>21</v>
      </c>
      <c r="D56" s="2">
        <v>2.0</v>
      </c>
      <c r="E56" s="5">
        <v>45659.0</v>
      </c>
      <c r="F56" s="2" t="str">
        <f>VLOOKUP(B56,Customers!A:B,2,FALSE)</f>
        <v>Sara Khan </v>
      </c>
      <c r="G56" s="2" t="str">
        <f>VLOOKUP(C56,Products!A:B,2,FALSE)</f>
        <v>Mouse</v>
      </c>
      <c r="H56" s="2" t="str">
        <f>VLOOKUP(C56,Products!A:C,3,FALSE)</f>
        <v>Accessories</v>
      </c>
      <c r="I56" s="2">
        <f>VLOOKUP(C56,Products!A:D,4,FALSE)</f>
        <v>3649</v>
      </c>
      <c r="J56" s="2">
        <f t="shared" si="1"/>
        <v>7298</v>
      </c>
    </row>
    <row r="57">
      <c r="A57" s="2" t="s">
        <v>119</v>
      </c>
      <c r="B57" s="3" t="s">
        <v>17</v>
      </c>
      <c r="C57" s="4" t="s">
        <v>49</v>
      </c>
      <c r="D57" s="2">
        <v>5.0</v>
      </c>
      <c r="E57" s="5">
        <v>45743.0</v>
      </c>
      <c r="F57" s="2" t="str">
        <f>VLOOKUP(B57,Customers!A:B,2,FALSE)</f>
        <v>Rahul mann</v>
      </c>
      <c r="G57" s="2" t="str">
        <f>VLOOKUP(C57,Products!A:B,2,FALSE)</f>
        <v>Tablet</v>
      </c>
      <c r="H57" s="2" t="str">
        <f>VLOOKUP(C57,Products!A:C,3,FALSE)</f>
        <v>Electronics</v>
      </c>
      <c r="I57" s="2">
        <f>VLOOKUP(C57,Products!A:D,4,FALSE)</f>
        <v>40192</v>
      </c>
      <c r="J57" s="2">
        <f t="shared" si="1"/>
        <v>200960</v>
      </c>
    </row>
    <row r="58">
      <c r="A58" s="2" t="s">
        <v>120</v>
      </c>
      <c r="B58" s="3" t="s">
        <v>11</v>
      </c>
      <c r="C58" s="4" t="s">
        <v>15</v>
      </c>
      <c r="D58" s="2">
        <v>5.0</v>
      </c>
      <c r="E58" s="5">
        <v>45820.0</v>
      </c>
      <c r="F58" s="2" t="str">
        <f>VLOOKUP(B58,Customers!A:B,2,FALSE)</f>
        <v>Arjun Sharma</v>
      </c>
      <c r="G58" s="2" t="str">
        <f>VLOOKUP(C58,Products!A:B,2,FALSE)</f>
        <v>Phone</v>
      </c>
      <c r="H58" s="2" t="str">
        <f>VLOOKUP(C58,Products!A:C,3,FALSE)</f>
        <v>Electronics</v>
      </c>
      <c r="I58" s="2">
        <f>VLOOKUP(C58,Products!A:D,4,FALSE)</f>
        <v>59549</v>
      </c>
      <c r="J58" s="2">
        <f t="shared" si="1"/>
        <v>297745</v>
      </c>
    </row>
    <row r="59">
      <c r="A59" s="2" t="s">
        <v>121</v>
      </c>
      <c r="B59" s="3" t="s">
        <v>122</v>
      </c>
      <c r="C59" s="4" t="s">
        <v>24</v>
      </c>
      <c r="D59" s="2">
        <v>5.0</v>
      </c>
      <c r="E59" s="5">
        <v>45695.0</v>
      </c>
      <c r="F59" s="2" t="str">
        <f>VLOOKUP(B59,Customers!A:B,2,FALSE)</f>
        <v>Aisha Malhotra</v>
      </c>
      <c r="G59" s="2" t="str">
        <f>VLOOKUP(C59,Products!A:B,2,FALSE)</f>
        <v>Keyboard</v>
      </c>
      <c r="H59" s="2" t="str">
        <f>VLOOKUP(C59,Products!A:C,3,FALSE)</f>
        <v>Accessories</v>
      </c>
      <c r="I59" s="2">
        <f>VLOOKUP(C59,Products!A:D,4,FALSE)</f>
        <v>2426</v>
      </c>
      <c r="J59" s="2">
        <f t="shared" si="1"/>
        <v>12130</v>
      </c>
    </row>
    <row r="60">
      <c r="A60" s="2" t="s">
        <v>123</v>
      </c>
      <c r="B60" s="3" t="s">
        <v>124</v>
      </c>
      <c r="C60" s="4" t="s">
        <v>24</v>
      </c>
      <c r="D60" s="2">
        <v>2.0</v>
      </c>
      <c r="E60" s="5">
        <v>45715.0</v>
      </c>
      <c r="F60" s="2" t="str">
        <f>VLOOKUP(B60,Customers!A:B,2,FALSE)</f>
        <v>Vikram Roy</v>
      </c>
      <c r="G60" s="2" t="str">
        <f>VLOOKUP(C60,Products!A:B,2,FALSE)</f>
        <v>Keyboard</v>
      </c>
      <c r="H60" s="2" t="str">
        <f>VLOOKUP(C60,Products!A:C,3,FALSE)</f>
        <v>Accessories</v>
      </c>
      <c r="I60" s="2">
        <f>VLOOKUP(C60,Products!A:D,4,FALSE)</f>
        <v>2426</v>
      </c>
      <c r="J60" s="2">
        <f t="shared" si="1"/>
        <v>4852</v>
      </c>
    </row>
    <row r="61">
      <c r="A61" s="2" t="s">
        <v>125</v>
      </c>
      <c r="B61" s="3" t="s">
        <v>126</v>
      </c>
      <c r="C61" s="4" t="s">
        <v>24</v>
      </c>
      <c r="D61" s="2">
        <v>1.0</v>
      </c>
      <c r="E61" s="5">
        <v>45744.0</v>
      </c>
      <c r="F61" s="2" t="str">
        <f>VLOOKUP(B61,Customers!A:B,2,FALSE)</f>
        <v>Meera</v>
      </c>
      <c r="G61" s="2" t="str">
        <f>VLOOKUP(C61,Products!A:B,2,FALSE)</f>
        <v>Keyboard</v>
      </c>
      <c r="H61" s="2" t="str">
        <f>VLOOKUP(C61,Products!A:C,3,FALSE)</f>
        <v>Accessories</v>
      </c>
      <c r="I61" s="2">
        <f>VLOOKUP(C61,Products!A:D,4,FALSE)</f>
        <v>2426</v>
      </c>
      <c r="J61" s="2">
        <f t="shared" si="1"/>
        <v>2426</v>
      </c>
    </row>
    <row r="62">
      <c r="A62" s="2" t="s">
        <v>127</v>
      </c>
      <c r="B62" s="3" t="s">
        <v>106</v>
      </c>
      <c r="C62" s="4" t="s">
        <v>35</v>
      </c>
      <c r="D62" s="2">
        <v>4.0</v>
      </c>
      <c r="E62" s="5">
        <v>45805.0</v>
      </c>
      <c r="F62" s="2" t="str">
        <f>VLOOKUP(B62,Customers!A:B,2,FALSE)</f>
        <v>David sun</v>
      </c>
      <c r="G62" s="2" t="str">
        <f>VLOOKUP(C62,Products!A:B,2,FALSE)</f>
        <v>Smartwatch</v>
      </c>
      <c r="H62" s="2" t="str">
        <f>VLOOKUP(C62,Products!A:C,3,FALSE)</f>
        <v>Electronics</v>
      </c>
      <c r="I62" s="2">
        <f>VLOOKUP(C62,Products!A:D,4,FALSE)</f>
        <v>49383</v>
      </c>
      <c r="J62" s="2">
        <f t="shared" si="1"/>
        <v>197532</v>
      </c>
    </row>
    <row r="63">
      <c r="A63" s="2" t="s">
        <v>128</v>
      </c>
      <c r="B63" s="3" t="s">
        <v>126</v>
      </c>
      <c r="C63" s="4" t="s">
        <v>57</v>
      </c>
      <c r="D63" s="2">
        <v>2.0</v>
      </c>
      <c r="E63" s="5">
        <v>45679.0</v>
      </c>
      <c r="F63" s="2" t="str">
        <f>VLOOKUP(B63,Customers!A:B,2,FALSE)</f>
        <v>Meera</v>
      </c>
      <c r="G63" s="2" t="str">
        <f>VLOOKUP(C63,Products!A:B,2,FALSE)</f>
        <v>Smartwatch</v>
      </c>
      <c r="H63" s="2" t="str">
        <f>VLOOKUP(C63,Products!A:C,3,FALSE)</f>
        <v>Electronics</v>
      </c>
      <c r="I63" s="2">
        <f>VLOOKUP(C63,Products!A:D,4,FALSE)</f>
        <v>20151</v>
      </c>
      <c r="J63" s="2">
        <f t="shared" si="1"/>
        <v>40302</v>
      </c>
    </row>
    <row r="64">
      <c r="A64" s="2" t="s">
        <v>129</v>
      </c>
      <c r="B64" s="3" t="s">
        <v>33</v>
      </c>
      <c r="C64" s="4" t="s">
        <v>43</v>
      </c>
      <c r="D64" s="2">
        <v>3.0</v>
      </c>
      <c r="E64" s="5">
        <v>45765.0</v>
      </c>
      <c r="F64" s="2" t="str">
        <f>VLOOKUP(B64,Customers!A:B,2,FALSE)</f>
        <v>Vikram Roy</v>
      </c>
      <c r="G64" s="2" t="str">
        <f>VLOOKUP(C64,Products!A:B,2,FALSE)</f>
        <v>Headphones</v>
      </c>
      <c r="H64" s="2" t="str">
        <f>VLOOKUP(C64,Products!A:C,3,FALSE)</f>
        <v>Accessories</v>
      </c>
      <c r="I64" s="2">
        <f>VLOOKUP(C64,Products!A:D,4,FALSE)</f>
        <v>1821</v>
      </c>
      <c r="J64" s="2">
        <f t="shared" si="1"/>
        <v>5463</v>
      </c>
    </row>
    <row r="65">
      <c r="A65" s="2" t="s">
        <v>130</v>
      </c>
      <c r="B65" s="3" t="s">
        <v>131</v>
      </c>
      <c r="C65" s="4" t="s">
        <v>104</v>
      </c>
      <c r="D65" s="2">
        <v>1.0</v>
      </c>
      <c r="E65" s="5">
        <v>45811.0</v>
      </c>
      <c r="F65" s="2" t="str">
        <f>VLOOKUP(B65,Customers!A:B,2,FALSE)</f>
        <v>John Smith</v>
      </c>
      <c r="G65" s="2" t="str">
        <f>VLOOKUP(C65,Products!A:B,2,FALSE)</f>
        <v>Tablet</v>
      </c>
      <c r="H65" s="2" t="str">
        <f>VLOOKUP(C65,Products!A:C,3,FALSE)</f>
        <v>Electronics</v>
      </c>
      <c r="I65" s="2">
        <f>VLOOKUP(C65,Products!A:D,4,FALSE)</f>
        <v>61889</v>
      </c>
      <c r="J65" s="2">
        <f t="shared" si="1"/>
        <v>61889</v>
      </c>
    </row>
    <row r="66">
      <c r="A66" s="2" t="s">
        <v>132</v>
      </c>
      <c r="B66" s="3" t="s">
        <v>28</v>
      </c>
      <c r="C66" s="4" t="s">
        <v>40</v>
      </c>
      <c r="D66" s="2">
        <v>4.0</v>
      </c>
      <c r="E66" s="5">
        <v>45797.0</v>
      </c>
      <c r="F66" s="2" t="str">
        <f>VLOOKUP(B66,Customers!A:B,2,FALSE)</f>
        <v>David sun</v>
      </c>
      <c r="G66" s="2" t="str">
        <f>VLOOKUP(C66,Products!A:B,2,FALSE)</f>
        <v>Phone</v>
      </c>
      <c r="H66" s="2" t="str">
        <f>VLOOKUP(C66,Products!A:C,3,FALSE)</f>
        <v>Electronics</v>
      </c>
      <c r="I66" s="2">
        <f>VLOOKUP(C66,Products!A:D,4,FALSE)</f>
        <v>50972</v>
      </c>
      <c r="J66" s="2">
        <f t="shared" si="1"/>
        <v>203888</v>
      </c>
    </row>
    <row r="67">
      <c r="A67" s="2" t="s">
        <v>133</v>
      </c>
      <c r="B67" s="3" t="s">
        <v>62</v>
      </c>
      <c r="C67" s="4" t="s">
        <v>57</v>
      </c>
      <c r="D67" s="2">
        <v>4.0</v>
      </c>
      <c r="E67" s="5">
        <v>45730.0</v>
      </c>
      <c r="F67" s="2" t="str">
        <f>VLOOKUP(B67,Customers!A:B,2,FALSE)</f>
        <v>Rahul mann</v>
      </c>
      <c r="G67" s="2" t="str">
        <f>VLOOKUP(C67,Products!A:B,2,FALSE)</f>
        <v>Smartwatch</v>
      </c>
      <c r="H67" s="2" t="str">
        <f>VLOOKUP(C67,Products!A:C,3,FALSE)</f>
        <v>Electronics</v>
      </c>
      <c r="I67" s="2">
        <f>VLOOKUP(C67,Products!A:D,4,FALSE)</f>
        <v>20151</v>
      </c>
      <c r="J67" s="2">
        <f t="shared" si="1"/>
        <v>80604</v>
      </c>
    </row>
    <row r="68">
      <c r="A68" s="2" t="s">
        <v>134</v>
      </c>
      <c r="B68" s="3" t="s">
        <v>48</v>
      </c>
      <c r="C68" s="4" t="s">
        <v>49</v>
      </c>
      <c r="D68" s="2">
        <v>2.0</v>
      </c>
      <c r="E68" s="5">
        <v>45747.0</v>
      </c>
      <c r="F68" s="2" t="str">
        <f>VLOOKUP(B68,Customers!A:B,2,FALSE)</f>
        <v>Neha Kumari</v>
      </c>
      <c r="G68" s="2" t="str">
        <f>VLOOKUP(C68,Products!A:B,2,FALSE)</f>
        <v>Tablet</v>
      </c>
      <c r="H68" s="2" t="str">
        <f>VLOOKUP(C68,Products!A:C,3,FALSE)</f>
        <v>Electronics</v>
      </c>
      <c r="I68" s="2">
        <f>VLOOKUP(C68,Products!A:D,4,FALSE)</f>
        <v>40192</v>
      </c>
      <c r="J68" s="2">
        <f t="shared" si="1"/>
        <v>80384</v>
      </c>
    </row>
    <row r="69">
      <c r="A69" s="2" t="s">
        <v>135</v>
      </c>
      <c r="B69" s="3" t="s">
        <v>69</v>
      </c>
      <c r="C69" s="4" t="s">
        <v>70</v>
      </c>
      <c r="D69" s="2">
        <v>2.0</v>
      </c>
      <c r="E69" s="5">
        <v>45727.0</v>
      </c>
      <c r="F69" s="2" t="str">
        <f>VLOOKUP(B69,Customers!A:B,2,FALSE)</f>
        <v>Neha Kumari</v>
      </c>
      <c r="G69" s="2" t="str">
        <f>VLOOKUP(C69,Products!A:B,2,FALSE)</f>
        <v>Tablet</v>
      </c>
      <c r="H69" s="2" t="str">
        <f>VLOOKUP(C69,Products!A:C,3,FALSE)</f>
        <v>Electronics</v>
      </c>
      <c r="I69" s="2">
        <f>VLOOKUP(C69,Products!A:D,4,FALSE)</f>
        <v>45245</v>
      </c>
      <c r="J69" s="2">
        <f t="shared" si="1"/>
        <v>90490</v>
      </c>
    </row>
    <row r="70">
      <c r="A70" s="2" t="s">
        <v>136</v>
      </c>
      <c r="B70" s="3" t="s">
        <v>137</v>
      </c>
      <c r="C70" s="4" t="s">
        <v>87</v>
      </c>
      <c r="D70" s="2">
        <v>1.0</v>
      </c>
      <c r="E70" s="5">
        <v>45712.0</v>
      </c>
      <c r="F70" s="2" t="str">
        <f>VLOOKUP(B70,Customers!A:B,2,FALSE)</f>
        <v>Vikram Roy</v>
      </c>
      <c r="G70" s="2" t="str">
        <f>VLOOKUP(C70,Products!A:B,2,FALSE)</f>
        <v>Tablet</v>
      </c>
      <c r="H70" s="2" t="str">
        <f>VLOOKUP(C70,Products!A:C,3,FALSE)</f>
        <v>Electronics</v>
      </c>
      <c r="I70" s="2">
        <f>VLOOKUP(C70,Products!A:D,4,FALSE)</f>
        <v>65755</v>
      </c>
      <c r="J70" s="2">
        <f t="shared" si="1"/>
        <v>65755</v>
      </c>
    </row>
    <row r="71">
      <c r="A71" s="2" t="s">
        <v>138</v>
      </c>
      <c r="B71" s="3" t="s">
        <v>114</v>
      </c>
      <c r="C71" s="4" t="s">
        <v>12</v>
      </c>
      <c r="D71" s="2">
        <v>5.0</v>
      </c>
      <c r="E71" s="5">
        <v>45832.0</v>
      </c>
      <c r="F71" s="2" t="str">
        <f>VLOOKUP(B71,Customers!A:B,2,FALSE)</f>
        <v>Priya Verma</v>
      </c>
      <c r="G71" s="2" t="str">
        <f>VLOOKUP(C71,Products!A:B,2,FALSE)</f>
        <v>Laptop</v>
      </c>
      <c r="H71" s="2" t="str">
        <f>VLOOKUP(C71,Products!A:C,3,FALSE)</f>
        <v>Electronics</v>
      </c>
      <c r="I71" s="2">
        <f>VLOOKUP(C71,Products!A:D,4,FALSE)</f>
        <v>62520</v>
      </c>
      <c r="J71" s="2">
        <f t="shared" si="1"/>
        <v>312600</v>
      </c>
    </row>
    <row r="72">
      <c r="A72" s="2" t="s">
        <v>139</v>
      </c>
      <c r="B72" s="3" t="s">
        <v>140</v>
      </c>
      <c r="C72" s="4" t="s">
        <v>70</v>
      </c>
      <c r="D72" s="2">
        <v>5.0</v>
      </c>
      <c r="E72" s="5">
        <v>45783.0</v>
      </c>
      <c r="F72" s="2" t="str">
        <f>VLOOKUP(B72,Customers!A:B,2,FALSE)</f>
        <v>Arjun Sharma</v>
      </c>
      <c r="G72" s="2" t="str">
        <f>VLOOKUP(C72,Products!A:B,2,FALSE)</f>
        <v>Tablet</v>
      </c>
      <c r="H72" s="2" t="str">
        <f>VLOOKUP(C72,Products!A:C,3,FALSE)</f>
        <v>Electronics</v>
      </c>
      <c r="I72" s="2">
        <f>VLOOKUP(C72,Products!A:D,4,FALSE)</f>
        <v>45245</v>
      </c>
      <c r="J72" s="2">
        <f t="shared" si="1"/>
        <v>226225</v>
      </c>
    </row>
    <row r="73">
      <c r="A73" s="2" t="s">
        <v>141</v>
      </c>
      <c r="B73" s="3" t="s">
        <v>100</v>
      </c>
      <c r="C73" s="4" t="s">
        <v>104</v>
      </c>
      <c r="D73" s="2">
        <v>5.0</v>
      </c>
      <c r="E73" s="5">
        <v>45718.0</v>
      </c>
      <c r="F73" s="2" t="str">
        <f>VLOOKUP(B73,Customers!A:B,2,FALSE)</f>
        <v>John Smith</v>
      </c>
      <c r="G73" s="2" t="str">
        <f>VLOOKUP(C73,Products!A:B,2,FALSE)</f>
        <v>Tablet</v>
      </c>
      <c r="H73" s="2" t="str">
        <f>VLOOKUP(C73,Products!A:C,3,FALSE)</f>
        <v>Electronics</v>
      </c>
      <c r="I73" s="2">
        <f>VLOOKUP(C73,Products!A:D,4,FALSE)</f>
        <v>61889</v>
      </c>
      <c r="J73" s="2">
        <f t="shared" si="1"/>
        <v>309445</v>
      </c>
    </row>
    <row r="74">
      <c r="A74" s="2" t="s">
        <v>142</v>
      </c>
      <c r="B74" s="3" t="s">
        <v>143</v>
      </c>
      <c r="C74" s="4" t="s">
        <v>35</v>
      </c>
      <c r="D74" s="2">
        <v>5.0</v>
      </c>
      <c r="E74" s="5">
        <v>45816.0</v>
      </c>
      <c r="F74" s="2" t="str">
        <f>VLOOKUP(B74,Customers!A:B,2,FALSE)</f>
        <v>Rahul mann</v>
      </c>
      <c r="G74" s="2" t="str">
        <f>VLOOKUP(C74,Products!A:B,2,FALSE)</f>
        <v>Smartwatch</v>
      </c>
      <c r="H74" s="2" t="str">
        <f>VLOOKUP(C74,Products!A:C,3,FALSE)</f>
        <v>Electronics</v>
      </c>
      <c r="I74" s="2">
        <f>VLOOKUP(C74,Products!A:D,4,FALSE)</f>
        <v>49383</v>
      </c>
      <c r="J74" s="2">
        <f t="shared" si="1"/>
        <v>246915</v>
      </c>
    </row>
    <row r="75">
      <c r="A75" s="2" t="s">
        <v>144</v>
      </c>
      <c r="B75" s="3" t="s">
        <v>33</v>
      </c>
      <c r="C75" s="4" t="s">
        <v>21</v>
      </c>
      <c r="D75" s="2">
        <v>4.0</v>
      </c>
      <c r="E75" s="5">
        <v>45768.0</v>
      </c>
      <c r="F75" s="2" t="str">
        <f>VLOOKUP(B75,Customers!A:B,2,FALSE)</f>
        <v>Vikram Roy</v>
      </c>
      <c r="G75" s="2" t="str">
        <f>VLOOKUP(C75,Products!A:B,2,FALSE)</f>
        <v>Mouse</v>
      </c>
      <c r="H75" s="2" t="str">
        <f>VLOOKUP(C75,Products!A:C,3,FALSE)</f>
        <v>Accessories</v>
      </c>
      <c r="I75" s="2">
        <f>VLOOKUP(C75,Products!A:D,4,FALSE)</f>
        <v>3649</v>
      </c>
      <c r="J75" s="2">
        <f t="shared" si="1"/>
        <v>14596</v>
      </c>
    </row>
    <row r="76">
      <c r="A76" s="2" t="s">
        <v>145</v>
      </c>
      <c r="B76" s="3" t="s">
        <v>39</v>
      </c>
      <c r="C76" s="4" t="s">
        <v>49</v>
      </c>
      <c r="D76" s="2">
        <v>4.0</v>
      </c>
      <c r="E76" s="5">
        <v>45694.0</v>
      </c>
      <c r="F76" s="2" t="str">
        <f>VLOOKUP(B76,Customers!A:B,2,FALSE)</f>
        <v>Priya Verma</v>
      </c>
      <c r="G76" s="2" t="str">
        <f>VLOOKUP(C76,Products!A:B,2,FALSE)</f>
        <v>Tablet</v>
      </c>
      <c r="H76" s="2" t="str">
        <f>VLOOKUP(C76,Products!A:C,3,FALSE)</f>
        <v>Electronics</v>
      </c>
      <c r="I76" s="2">
        <f>VLOOKUP(C76,Products!A:D,4,FALSE)</f>
        <v>40192</v>
      </c>
      <c r="J76" s="2">
        <f t="shared" si="1"/>
        <v>160768</v>
      </c>
    </row>
    <row r="77">
      <c r="A77" s="2" t="s">
        <v>146</v>
      </c>
      <c r="B77" s="3" t="s">
        <v>51</v>
      </c>
      <c r="C77" s="4" t="s">
        <v>75</v>
      </c>
      <c r="D77" s="2">
        <v>5.0</v>
      </c>
      <c r="E77" s="5">
        <v>45726.0</v>
      </c>
      <c r="F77" s="2" t="str">
        <f>VLOOKUP(B77,Customers!A:B,2,FALSE)</f>
        <v>David sun</v>
      </c>
      <c r="G77" s="2" t="str">
        <f>VLOOKUP(C77,Products!A:B,2,FALSE)</f>
        <v>Smartwatch</v>
      </c>
      <c r="H77" s="2" t="str">
        <f>VLOOKUP(C77,Products!A:C,3,FALSE)</f>
        <v>Electronics</v>
      </c>
      <c r="I77" s="2">
        <f>VLOOKUP(C77,Products!A:D,4,FALSE)</f>
        <v>61749</v>
      </c>
      <c r="J77" s="2">
        <f t="shared" si="1"/>
        <v>308745</v>
      </c>
    </row>
    <row r="78">
      <c r="A78" s="2" t="s">
        <v>147</v>
      </c>
      <c r="B78" s="3" t="s">
        <v>148</v>
      </c>
      <c r="C78" s="4" t="s">
        <v>31</v>
      </c>
      <c r="D78" s="2">
        <v>5.0</v>
      </c>
      <c r="E78" s="5">
        <v>45747.0</v>
      </c>
      <c r="F78" s="2" t="str">
        <f>VLOOKUP(B78,Customers!A:B,2,FALSE)</f>
        <v>David sun</v>
      </c>
      <c r="G78" s="2" t="str">
        <f>VLOOKUP(C78,Products!A:B,2,FALSE)</f>
        <v>Monitor</v>
      </c>
      <c r="H78" s="2" t="str">
        <f>VLOOKUP(C78,Products!A:C,3,FALSE)</f>
        <v>Electronics</v>
      </c>
      <c r="I78" s="2">
        <f>VLOOKUP(C78,Products!A:D,4,FALSE)</f>
        <v>63079</v>
      </c>
      <c r="J78" s="2">
        <f t="shared" si="1"/>
        <v>315395</v>
      </c>
    </row>
    <row r="79">
      <c r="A79" s="2" t="s">
        <v>149</v>
      </c>
      <c r="B79" s="3" t="s">
        <v>39</v>
      </c>
      <c r="C79" s="4" t="s">
        <v>21</v>
      </c>
      <c r="D79" s="2">
        <v>4.0</v>
      </c>
      <c r="E79" s="5">
        <v>45838.0</v>
      </c>
      <c r="F79" s="2" t="str">
        <f>VLOOKUP(B79,Customers!A:B,2,FALSE)</f>
        <v>Priya Verma</v>
      </c>
      <c r="G79" s="2" t="str">
        <f>VLOOKUP(C79,Products!A:B,2,FALSE)</f>
        <v>Mouse</v>
      </c>
      <c r="H79" s="2" t="str">
        <f>VLOOKUP(C79,Products!A:C,3,FALSE)</f>
        <v>Accessories</v>
      </c>
      <c r="I79" s="2">
        <f>VLOOKUP(C79,Products!A:D,4,FALSE)</f>
        <v>3649</v>
      </c>
      <c r="J79" s="2">
        <f t="shared" si="1"/>
        <v>14596</v>
      </c>
    </row>
    <row r="80">
      <c r="A80" s="2" t="s">
        <v>150</v>
      </c>
      <c r="B80" s="3" t="s">
        <v>14</v>
      </c>
      <c r="C80" s="4" t="s">
        <v>151</v>
      </c>
      <c r="D80" s="2">
        <v>2.0</v>
      </c>
      <c r="E80" s="5">
        <v>45792.0</v>
      </c>
      <c r="F80" s="2" t="str">
        <f>VLOOKUP(B80,Customers!A:B,2,FALSE)</f>
        <v>Priya Verma</v>
      </c>
      <c r="G80" s="2" t="str">
        <f>VLOOKUP(C80,Products!A:B,2,FALSE)</f>
        <v>Speaker</v>
      </c>
      <c r="H80" s="2" t="str">
        <f>VLOOKUP(C80,Products!A:C,3,FALSE)</f>
        <v>Accessories</v>
      </c>
      <c r="I80" s="2">
        <f>VLOOKUP(C80,Products!A:D,4,FALSE)</f>
        <v>3985</v>
      </c>
      <c r="J80" s="2">
        <f t="shared" si="1"/>
        <v>7970</v>
      </c>
    </row>
    <row r="81">
      <c r="A81" s="2" t="s">
        <v>152</v>
      </c>
      <c r="B81" s="3" t="s">
        <v>86</v>
      </c>
      <c r="C81" s="4" t="s">
        <v>104</v>
      </c>
      <c r="D81" s="2">
        <v>5.0</v>
      </c>
      <c r="E81" s="5">
        <v>45737.0</v>
      </c>
      <c r="F81" s="2" t="str">
        <f>VLOOKUP(B81,Customers!A:B,2,FALSE)</f>
        <v>Neha Kumari</v>
      </c>
      <c r="G81" s="2" t="str">
        <f>VLOOKUP(C81,Products!A:B,2,FALSE)</f>
        <v>Tablet</v>
      </c>
      <c r="H81" s="2" t="str">
        <f>VLOOKUP(C81,Products!A:C,3,FALSE)</f>
        <v>Electronics</v>
      </c>
      <c r="I81" s="2">
        <f>VLOOKUP(C81,Products!A:D,4,FALSE)</f>
        <v>61889</v>
      </c>
      <c r="J81" s="2">
        <f t="shared" si="1"/>
        <v>309445</v>
      </c>
    </row>
    <row r="82">
      <c r="A82" s="2" t="s">
        <v>153</v>
      </c>
      <c r="B82" s="3" t="s">
        <v>20</v>
      </c>
      <c r="C82" s="4" t="s">
        <v>75</v>
      </c>
      <c r="D82" s="2">
        <v>3.0</v>
      </c>
      <c r="E82" s="5">
        <v>45716.0</v>
      </c>
      <c r="F82" s="2" t="str">
        <f>VLOOKUP(B82,Customers!A:B,2,FALSE)</f>
        <v>John Smith</v>
      </c>
      <c r="G82" s="2" t="str">
        <f>VLOOKUP(C82,Products!A:B,2,FALSE)</f>
        <v>Smartwatch</v>
      </c>
      <c r="H82" s="2" t="str">
        <f>VLOOKUP(C82,Products!A:C,3,FALSE)</f>
        <v>Electronics</v>
      </c>
      <c r="I82" s="2">
        <f>VLOOKUP(C82,Products!A:D,4,FALSE)</f>
        <v>61749</v>
      </c>
      <c r="J82" s="2">
        <f t="shared" si="1"/>
        <v>185247</v>
      </c>
    </row>
    <row r="83">
      <c r="A83" s="2" t="s">
        <v>154</v>
      </c>
      <c r="B83" s="3" t="s">
        <v>93</v>
      </c>
      <c r="C83" s="4" t="s">
        <v>87</v>
      </c>
      <c r="D83" s="2">
        <v>5.0</v>
      </c>
      <c r="E83" s="5">
        <v>45717.0</v>
      </c>
      <c r="F83" s="2" t="str">
        <f>VLOOKUP(B83,Customers!A:B,2,FALSE)</f>
        <v>Meera</v>
      </c>
      <c r="G83" s="2" t="str">
        <f>VLOOKUP(C83,Products!A:B,2,FALSE)</f>
        <v>Tablet</v>
      </c>
      <c r="H83" s="2" t="str">
        <f>VLOOKUP(C83,Products!A:C,3,FALSE)</f>
        <v>Electronics</v>
      </c>
      <c r="I83" s="2">
        <f>VLOOKUP(C83,Products!A:D,4,FALSE)</f>
        <v>65755</v>
      </c>
      <c r="J83" s="2">
        <f t="shared" si="1"/>
        <v>328775</v>
      </c>
    </row>
    <row r="84">
      <c r="A84" s="2" t="s">
        <v>155</v>
      </c>
      <c r="B84" s="3" t="s">
        <v>95</v>
      </c>
      <c r="C84" s="4" t="s">
        <v>70</v>
      </c>
      <c r="D84" s="2">
        <v>1.0</v>
      </c>
      <c r="E84" s="5">
        <v>45760.0</v>
      </c>
      <c r="F84" s="2" t="str">
        <f>VLOOKUP(B84,Customers!A:B,2,FALSE)</f>
        <v>Arjun Sharma</v>
      </c>
      <c r="G84" s="2" t="str">
        <f>VLOOKUP(C84,Products!A:B,2,FALSE)</f>
        <v>Tablet</v>
      </c>
      <c r="H84" s="2" t="str">
        <f>VLOOKUP(C84,Products!A:C,3,FALSE)</f>
        <v>Electronics</v>
      </c>
      <c r="I84" s="2">
        <f>VLOOKUP(C84,Products!A:D,4,FALSE)</f>
        <v>45245</v>
      </c>
      <c r="J84" s="2">
        <f t="shared" si="1"/>
        <v>45245</v>
      </c>
    </row>
    <row r="85">
      <c r="A85" s="2" t="s">
        <v>156</v>
      </c>
      <c r="B85" s="3" t="s">
        <v>69</v>
      </c>
      <c r="C85" s="4" t="s">
        <v>87</v>
      </c>
      <c r="D85" s="2">
        <v>3.0</v>
      </c>
      <c r="E85" s="5">
        <v>45814.0</v>
      </c>
      <c r="F85" s="2" t="str">
        <f>VLOOKUP(B85,Customers!A:B,2,FALSE)</f>
        <v>Neha Kumari</v>
      </c>
      <c r="G85" s="2" t="str">
        <f>VLOOKUP(C85,Products!A:B,2,FALSE)</f>
        <v>Tablet</v>
      </c>
      <c r="H85" s="2" t="str">
        <f>VLOOKUP(C85,Products!A:C,3,FALSE)</f>
        <v>Electronics</v>
      </c>
      <c r="I85" s="2">
        <f>VLOOKUP(C85,Products!A:D,4,FALSE)</f>
        <v>65755</v>
      </c>
      <c r="J85" s="2">
        <f t="shared" si="1"/>
        <v>197265</v>
      </c>
    </row>
    <row r="86">
      <c r="A86" s="2" t="s">
        <v>157</v>
      </c>
      <c r="B86" s="3" t="s">
        <v>118</v>
      </c>
      <c r="C86" s="4" t="s">
        <v>55</v>
      </c>
      <c r="D86" s="2">
        <v>5.0</v>
      </c>
      <c r="E86" s="5">
        <v>45696.0</v>
      </c>
      <c r="F86" s="2" t="str">
        <f>VLOOKUP(B86,Customers!A:B,2,FALSE)</f>
        <v>Sara Khan </v>
      </c>
      <c r="G86" s="2" t="str">
        <f>VLOOKUP(C86,Products!A:B,2,FALSE)</f>
        <v>Speaker</v>
      </c>
      <c r="H86" s="2" t="str">
        <f>VLOOKUP(C86,Products!A:C,3,FALSE)</f>
        <v>Accessories</v>
      </c>
      <c r="I86" s="2">
        <f>VLOOKUP(C86,Products!A:D,4,FALSE)</f>
        <v>3408</v>
      </c>
      <c r="J86" s="2">
        <f t="shared" si="1"/>
        <v>17040</v>
      </c>
    </row>
    <row r="87">
      <c r="A87" s="2" t="s">
        <v>158</v>
      </c>
      <c r="B87" s="3" t="s">
        <v>14</v>
      </c>
      <c r="C87" s="4" t="s">
        <v>35</v>
      </c>
      <c r="D87" s="2">
        <v>5.0</v>
      </c>
      <c r="E87" s="5">
        <v>45771.0</v>
      </c>
      <c r="F87" s="2" t="str">
        <f>VLOOKUP(B87,Customers!A:B,2,FALSE)</f>
        <v>Priya Verma</v>
      </c>
      <c r="G87" s="2" t="str">
        <f>VLOOKUP(C87,Products!A:B,2,FALSE)</f>
        <v>Smartwatch</v>
      </c>
      <c r="H87" s="2" t="str">
        <f>VLOOKUP(C87,Products!A:C,3,FALSE)</f>
        <v>Electronics</v>
      </c>
      <c r="I87" s="2">
        <f>VLOOKUP(C87,Products!A:D,4,FALSE)</f>
        <v>49383</v>
      </c>
      <c r="J87" s="2">
        <f t="shared" si="1"/>
        <v>246915</v>
      </c>
    </row>
    <row r="88">
      <c r="A88" s="2" t="s">
        <v>159</v>
      </c>
      <c r="B88" s="3" t="s">
        <v>53</v>
      </c>
      <c r="C88" s="4" t="s">
        <v>57</v>
      </c>
      <c r="D88" s="2">
        <v>3.0</v>
      </c>
      <c r="E88" s="5">
        <v>45695.0</v>
      </c>
      <c r="F88" s="2" t="str">
        <f>VLOOKUP(B88,Customers!A:B,2,FALSE)</f>
        <v>Aisha Malhotra</v>
      </c>
      <c r="G88" s="2" t="str">
        <f>VLOOKUP(C88,Products!A:B,2,FALSE)</f>
        <v>Smartwatch</v>
      </c>
      <c r="H88" s="2" t="str">
        <f>VLOOKUP(C88,Products!A:C,3,FALSE)</f>
        <v>Electronics</v>
      </c>
      <c r="I88" s="2">
        <f>VLOOKUP(C88,Products!A:D,4,FALSE)</f>
        <v>20151</v>
      </c>
      <c r="J88" s="2">
        <f t="shared" si="1"/>
        <v>60453</v>
      </c>
    </row>
    <row r="89">
      <c r="A89" s="2" t="s">
        <v>160</v>
      </c>
      <c r="B89" s="3" t="s">
        <v>39</v>
      </c>
      <c r="C89" s="4" t="s">
        <v>70</v>
      </c>
      <c r="D89" s="2">
        <v>1.0</v>
      </c>
      <c r="E89" s="5">
        <v>45718.0</v>
      </c>
      <c r="F89" s="2" t="str">
        <f>VLOOKUP(B89,Customers!A:B,2,FALSE)</f>
        <v>Priya Verma</v>
      </c>
      <c r="G89" s="2" t="str">
        <f>VLOOKUP(C89,Products!A:B,2,FALSE)</f>
        <v>Tablet</v>
      </c>
      <c r="H89" s="2" t="str">
        <f>VLOOKUP(C89,Products!A:C,3,FALSE)</f>
        <v>Electronics</v>
      </c>
      <c r="I89" s="2">
        <f>VLOOKUP(C89,Products!A:D,4,FALSE)</f>
        <v>45245</v>
      </c>
      <c r="J89" s="2">
        <f t="shared" si="1"/>
        <v>45245</v>
      </c>
    </row>
    <row r="90">
      <c r="A90" s="2" t="s">
        <v>161</v>
      </c>
      <c r="B90" s="3" t="s">
        <v>140</v>
      </c>
      <c r="C90" s="4" t="s">
        <v>49</v>
      </c>
      <c r="D90" s="2">
        <v>3.0</v>
      </c>
      <c r="E90" s="5">
        <v>45676.0</v>
      </c>
      <c r="F90" s="2" t="str">
        <f>VLOOKUP(B90,Customers!A:B,2,FALSE)</f>
        <v>Arjun Sharma</v>
      </c>
      <c r="G90" s="2" t="str">
        <f>VLOOKUP(C90,Products!A:B,2,FALSE)</f>
        <v>Tablet</v>
      </c>
      <c r="H90" s="2" t="str">
        <f>VLOOKUP(C90,Products!A:C,3,FALSE)</f>
        <v>Electronics</v>
      </c>
      <c r="I90" s="2">
        <f>VLOOKUP(C90,Products!A:D,4,FALSE)</f>
        <v>40192</v>
      </c>
      <c r="J90" s="2">
        <f t="shared" si="1"/>
        <v>120576</v>
      </c>
    </row>
    <row r="91">
      <c r="A91" s="2" t="s">
        <v>162</v>
      </c>
      <c r="B91" s="3" t="s">
        <v>93</v>
      </c>
      <c r="C91" s="4" t="s">
        <v>15</v>
      </c>
      <c r="D91" s="2">
        <v>2.0</v>
      </c>
      <c r="E91" s="5">
        <v>45748.0</v>
      </c>
      <c r="F91" s="2" t="str">
        <f>VLOOKUP(B91,Customers!A:B,2,FALSE)</f>
        <v>Meera</v>
      </c>
      <c r="G91" s="2" t="str">
        <f>VLOOKUP(C91,Products!A:B,2,FALSE)</f>
        <v>Phone</v>
      </c>
      <c r="H91" s="2" t="str">
        <f>VLOOKUP(C91,Products!A:C,3,FALSE)</f>
        <v>Electronics</v>
      </c>
      <c r="I91" s="2">
        <f>VLOOKUP(C91,Products!A:D,4,FALSE)</f>
        <v>59549</v>
      </c>
      <c r="J91" s="2">
        <f t="shared" si="1"/>
        <v>119098</v>
      </c>
    </row>
    <row r="92">
      <c r="A92" s="2" t="s">
        <v>163</v>
      </c>
      <c r="B92" s="3" t="s">
        <v>26</v>
      </c>
      <c r="C92" s="4" t="s">
        <v>65</v>
      </c>
      <c r="D92" s="2">
        <v>1.0</v>
      </c>
      <c r="E92" s="5">
        <v>45832.0</v>
      </c>
      <c r="F92" s="2" t="str">
        <f>VLOOKUP(B92,Customers!A:B,2,FALSE)</f>
        <v>Neha Kumari</v>
      </c>
      <c r="G92" s="2" t="str">
        <f>VLOOKUP(C92,Products!A:B,2,FALSE)</f>
        <v>Mouse</v>
      </c>
      <c r="H92" s="2" t="str">
        <f>VLOOKUP(C92,Products!A:C,3,FALSE)</f>
        <v>Accessories</v>
      </c>
      <c r="I92" s="2">
        <f>VLOOKUP(C92,Products!A:D,4,FALSE)</f>
        <v>2899</v>
      </c>
      <c r="J92" s="2">
        <f t="shared" si="1"/>
        <v>2899</v>
      </c>
    </row>
    <row r="93">
      <c r="A93" s="2" t="s">
        <v>164</v>
      </c>
      <c r="B93" s="3" t="s">
        <v>69</v>
      </c>
      <c r="C93" s="4" t="s">
        <v>12</v>
      </c>
      <c r="D93" s="2">
        <v>5.0</v>
      </c>
      <c r="E93" s="5">
        <v>45738.0</v>
      </c>
      <c r="F93" s="2" t="str">
        <f>VLOOKUP(B93,Customers!A:B,2,FALSE)</f>
        <v>Neha Kumari</v>
      </c>
      <c r="G93" s="2" t="str">
        <f>VLOOKUP(C93,Products!A:B,2,FALSE)</f>
        <v>Laptop</v>
      </c>
      <c r="H93" s="2" t="str">
        <f>VLOOKUP(C93,Products!A:C,3,FALSE)</f>
        <v>Electronics</v>
      </c>
      <c r="I93" s="2">
        <f>VLOOKUP(C93,Products!A:D,4,FALSE)</f>
        <v>62520</v>
      </c>
      <c r="J93" s="2">
        <f t="shared" si="1"/>
        <v>312600</v>
      </c>
    </row>
    <row r="94">
      <c r="A94" s="2" t="s">
        <v>165</v>
      </c>
      <c r="B94" s="3" t="s">
        <v>166</v>
      </c>
      <c r="C94" s="4" t="s">
        <v>18</v>
      </c>
      <c r="D94" s="2">
        <v>4.0</v>
      </c>
      <c r="E94" s="5">
        <v>45831.0</v>
      </c>
      <c r="F94" s="2" t="str">
        <f>VLOOKUP(B94,Customers!A:B,2,FALSE)</f>
        <v>Rahul mann</v>
      </c>
      <c r="G94" s="2" t="str">
        <f>VLOOKUP(C94,Products!A:B,2,FALSE)</f>
        <v>Headphones</v>
      </c>
      <c r="H94" s="2" t="str">
        <f>VLOOKUP(C94,Products!A:C,3,FALSE)</f>
        <v>Accessories</v>
      </c>
      <c r="I94" s="2">
        <f>VLOOKUP(C94,Products!A:D,4,FALSE)</f>
        <v>2760</v>
      </c>
      <c r="J94" s="2">
        <f t="shared" si="1"/>
        <v>11040</v>
      </c>
    </row>
    <row r="95">
      <c r="A95" s="2" t="s">
        <v>167</v>
      </c>
      <c r="B95" s="3" t="s">
        <v>131</v>
      </c>
      <c r="C95" s="4" t="s">
        <v>55</v>
      </c>
      <c r="D95" s="2">
        <v>5.0</v>
      </c>
      <c r="E95" s="5">
        <v>45712.0</v>
      </c>
      <c r="F95" s="2" t="str">
        <f>VLOOKUP(B95,Customers!A:B,2,FALSE)</f>
        <v>John Smith</v>
      </c>
      <c r="G95" s="2" t="str">
        <f>VLOOKUP(C95,Products!A:B,2,FALSE)</f>
        <v>Speaker</v>
      </c>
      <c r="H95" s="2" t="str">
        <f>VLOOKUP(C95,Products!A:C,3,FALSE)</f>
        <v>Accessories</v>
      </c>
      <c r="I95" s="2">
        <f>VLOOKUP(C95,Products!A:D,4,FALSE)</f>
        <v>3408</v>
      </c>
      <c r="J95" s="2">
        <f t="shared" si="1"/>
        <v>17040</v>
      </c>
    </row>
    <row r="96">
      <c r="A96" s="2" t="s">
        <v>168</v>
      </c>
      <c r="B96" s="3" t="s">
        <v>93</v>
      </c>
      <c r="C96" s="4" t="s">
        <v>24</v>
      </c>
      <c r="D96" s="2">
        <v>5.0</v>
      </c>
      <c r="E96" s="5">
        <v>45743.0</v>
      </c>
      <c r="F96" s="2" t="str">
        <f>VLOOKUP(B96,Customers!A:B,2,FALSE)</f>
        <v>Meera</v>
      </c>
      <c r="G96" s="2" t="str">
        <f>VLOOKUP(C96,Products!A:B,2,FALSE)</f>
        <v>Keyboard</v>
      </c>
      <c r="H96" s="2" t="str">
        <f>VLOOKUP(C96,Products!A:C,3,FALSE)</f>
        <v>Accessories</v>
      </c>
      <c r="I96" s="2">
        <f>VLOOKUP(C96,Products!A:D,4,FALSE)</f>
        <v>2426</v>
      </c>
      <c r="J96" s="2">
        <f t="shared" si="1"/>
        <v>12130</v>
      </c>
    </row>
    <row r="97">
      <c r="A97" s="2" t="s">
        <v>169</v>
      </c>
      <c r="B97" s="3" t="s">
        <v>79</v>
      </c>
      <c r="C97" s="4" t="s">
        <v>57</v>
      </c>
      <c r="D97" s="2">
        <v>1.0</v>
      </c>
      <c r="E97" s="5">
        <v>45752.0</v>
      </c>
      <c r="F97" s="2" t="str">
        <f>VLOOKUP(B97,Customers!A:B,2,FALSE)</f>
        <v>Priya Verma</v>
      </c>
      <c r="G97" s="2" t="str">
        <f>VLOOKUP(C97,Products!A:B,2,FALSE)</f>
        <v>Smartwatch</v>
      </c>
      <c r="H97" s="2" t="str">
        <f>VLOOKUP(C97,Products!A:C,3,FALSE)</f>
        <v>Electronics</v>
      </c>
      <c r="I97" s="2">
        <f>VLOOKUP(C97,Products!A:D,4,FALSE)</f>
        <v>20151</v>
      </c>
      <c r="J97" s="2">
        <f t="shared" si="1"/>
        <v>20151</v>
      </c>
    </row>
    <row r="98">
      <c r="A98" s="2" t="s">
        <v>170</v>
      </c>
      <c r="B98" s="3" t="s">
        <v>17</v>
      </c>
      <c r="C98" s="4" t="s">
        <v>21</v>
      </c>
      <c r="D98" s="2">
        <v>3.0</v>
      </c>
      <c r="E98" s="5">
        <v>45739.0</v>
      </c>
      <c r="F98" s="2" t="str">
        <f>VLOOKUP(B98,Customers!A:B,2,FALSE)</f>
        <v>Rahul mann</v>
      </c>
      <c r="G98" s="2" t="str">
        <f>VLOOKUP(C98,Products!A:B,2,FALSE)</f>
        <v>Mouse</v>
      </c>
      <c r="H98" s="2" t="str">
        <f>VLOOKUP(C98,Products!A:C,3,FALSE)</f>
        <v>Accessories</v>
      </c>
      <c r="I98" s="2">
        <f>VLOOKUP(C98,Products!A:D,4,FALSE)</f>
        <v>3649</v>
      </c>
      <c r="J98" s="2">
        <f t="shared" si="1"/>
        <v>10947</v>
      </c>
    </row>
    <row r="99">
      <c r="A99" s="2" t="s">
        <v>171</v>
      </c>
      <c r="B99" s="3" t="s">
        <v>46</v>
      </c>
      <c r="C99" s="4" t="s">
        <v>80</v>
      </c>
      <c r="D99" s="2">
        <v>4.0</v>
      </c>
      <c r="E99" s="5">
        <v>45715.0</v>
      </c>
      <c r="F99" s="2" t="str">
        <f>VLOOKUP(B99,Customers!A:B,2,FALSE)</f>
        <v>Sara Khan </v>
      </c>
      <c r="G99" s="2" t="str">
        <f>VLOOKUP(C99,Products!A:B,2,FALSE)</f>
        <v>Phone</v>
      </c>
      <c r="H99" s="2" t="str">
        <f>VLOOKUP(C99,Products!A:C,3,FALSE)</f>
        <v>Electronics</v>
      </c>
      <c r="I99" s="2">
        <f>VLOOKUP(C99,Products!A:D,4,FALSE)</f>
        <v>21434</v>
      </c>
      <c r="J99" s="2">
        <f t="shared" si="1"/>
        <v>85736</v>
      </c>
    </row>
    <row r="100">
      <c r="A100" s="2" t="s">
        <v>172</v>
      </c>
      <c r="B100" s="3" t="s">
        <v>20</v>
      </c>
      <c r="C100" s="4" t="s">
        <v>31</v>
      </c>
      <c r="D100" s="2">
        <v>3.0</v>
      </c>
      <c r="E100" s="5">
        <v>45681.0</v>
      </c>
      <c r="F100" s="2" t="str">
        <f>VLOOKUP(B100,Customers!A:B,2,FALSE)</f>
        <v>John Smith</v>
      </c>
      <c r="G100" s="2" t="str">
        <f>VLOOKUP(C100,Products!A:B,2,FALSE)</f>
        <v>Monitor</v>
      </c>
      <c r="H100" s="2" t="str">
        <f>VLOOKUP(C100,Products!A:C,3,FALSE)</f>
        <v>Electronics</v>
      </c>
      <c r="I100" s="2">
        <f>VLOOKUP(C100,Products!A:D,4,FALSE)</f>
        <v>63079</v>
      </c>
      <c r="J100" s="2">
        <f t="shared" si="1"/>
        <v>189237</v>
      </c>
    </row>
    <row r="101">
      <c r="A101" s="2" t="s">
        <v>173</v>
      </c>
      <c r="B101" s="3" t="s">
        <v>42</v>
      </c>
      <c r="C101" s="4" t="s">
        <v>40</v>
      </c>
      <c r="D101" s="2">
        <v>1.0</v>
      </c>
      <c r="E101" s="5">
        <v>45723.0</v>
      </c>
      <c r="F101" s="2" t="str">
        <f>VLOOKUP(B101,Customers!A:B,2,FALSE)</f>
        <v>Rahul mann</v>
      </c>
      <c r="G101" s="2" t="str">
        <f>VLOOKUP(C101,Products!A:B,2,FALSE)</f>
        <v>Phone</v>
      </c>
      <c r="H101" s="2" t="str">
        <f>VLOOKUP(C101,Products!A:C,3,FALSE)</f>
        <v>Electronics</v>
      </c>
      <c r="I101" s="2">
        <f>VLOOKUP(C101,Products!A:D,4,FALSE)</f>
        <v>50972</v>
      </c>
      <c r="J101" s="2">
        <f t="shared" si="1"/>
        <v>50972</v>
      </c>
    </row>
    <row r="102">
      <c r="A102" s="2" t="s">
        <v>174</v>
      </c>
      <c r="B102" s="3" t="s">
        <v>33</v>
      </c>
      <c r="C102" s="4" t="s">
        <v>104</v>
      </c>
      <c r="D102" s="2">
        <v>5.0</v>
      </c>
      <c r="E102" s="5">
        <v>45733.0</v>
      </c>
      <c r="F102" s="2" t="str">
        <f>VLOOKUP(B102,Customers!A:B,2,FALSE)</f>
        <v>Vikram Roy</v>
      </c>
      <c r="G102" s="2" t="str">
        <f>VLOOKUP(C102,Products!A:B,2,FALSE)</f>
        <v>Tablet</v>
      </c>
      <c r="H102" s="2" t="str">
        <f>VLOOKUP(C102,Products!A:C,3,FALSE)</f>
        <v>Electronics</v>
      </c>
      <c r="I102" s="2">
        <f>VLOOKUP(C102,Products!A:D,4,FALSE)</f>
        <v>61889</v>
      </c>
      <c r="J102" s="2">
        <f t="shared" si="1"/>
        <v>309445</v>
      </c>
    </row>
    <row r="103">
      <c r="A103" s="2" t="s">
        <v>175</v>
      </c>
      <c r="B103" s="3" t="s">
        <v>176</v>
      </c>
      <c r="C103" s="4" t="s">
        <v>21</v>
      </c>
      <c r="D103" s="2">
        <v>2.0</v>
      </c>
      <c r="E103" s="5">
        <v>45742.0</v>
      </c>
      <c r="F103" s="2" t="str">
        <f>VLOOKUP(B103,Customers!A:B,2,FALSE)</f>
        <v>Priya Verma</v>
      </c>
      <c r="G103" s="2" t="str">
        <f>VLOOKUP(C103,Products!A:B,2,FALSE)</f>
        <v>Mouse</v>
      </c>
      <c r="H103" s="2" t="str">
        <f>VLOOKUP(C103,Products!A:C,3,FALSE)</f>
        <v>Accessories</v>
      </c>
      <c r="I103" s="2">
        <f>VLOOKUP(C103,Products!A:D,4,FALSE)</f>
        <v>3649</v>
      </c>
      <c r="J103" s="2">
        <f t="shared" si="1"/>
        <v>7298</v>
      </c>
    </row>
    <row r="104">
      <c r="A104" s="2" t="s">
        <v>177</v>
      </c>
      <c r="B104" s="3" t="s">
        <v>26</v>
      </c>
      <c r="C104" s="4" t="s">
        <v>151</v>
      </c>
      <c r="D104" s="2">
        <v>4.0</v>
      </c>
      <c r="E104" s="5">
        <v>45668.0</v>
      </c>
      <c r="F104" s="2" t="str">
        <f>VLOOKUP(B104,Customers!A:B,2,FALSE)</f>
        <v>Neha Kumari</v>
      </c>
      <c r="G104" s="2" t="str">
        <f>VLOOKUP(C104,Products!A:B,2,FALSE)</f>
        <v>Speaker</v>
      </c>
      <c r="H104" s="2" t="str">
        <f>VLOOKUP(C104,Products!A:C,3,FALSE)</f>
        <v>Accessories</v>
      </c>
      <c r="I104" s="2">
        <f>VLOOKUP(C104,Products!A:D,4,FALSE)</f>
        <v>3985</v>
      </c>
      <c r="J104" s="2">
        <f t="shared" si="1"/>
        <v>15940</v>
      </c>
    </row>
    <row r="105">
      <c r="A105" s="2" t="s">
        <v>178</v>
      </c>
      <c r="B105" s="3" t="s">
        <v>93</v>
      </c>
      <c r="C105" s="4" t="s">
        <v>31</v>
      </c>
      <c r="D105" s="2">
        <v>3.0</v>
      </c>
      <c r="E105" s="5">
        <v>45734.0</v>
      </c>
      <c r="F105" s="2" t="str">
        <f>VLOOKUP(B105,Customers!A:B,2,FALSE)</f>
        <v>Meera</v>
      </c>
      <c r="G105" s="2" t="str">
        <f>VLOOKUP(C105,Products!A:B,2,FALSE)</f>
        <v>Monitor</v>
      </c>
      <c r="H105" s="2" t="str">
        <f>VLOOKUP(C105,Products!A:C,3,FALSE)</f>
        <v>Electronics</v>
      </c>
      <c r="I105" s="2">
        <f>VLOOKUP(C105,Products!A:D,4,FALSE)</f>
        <v>63079</v>
      </c>
      <c r="J105" s="2">
        <f t="shared" si="1"/>
        <v>189237</v>
      </c>
    </row>
    <row r="106">
      <c r="A106" s="2" t="s">
        <v>179</v>
      </c>
      <c r="B106" s="3" t="s">
        <v>90</v>
      </c>
      <c r="C106" s="4" t="s">
        <v>75</v>
      </c>
      <c r="D106" s="2">
        <v>1.0</v>
      </c>
      <c r="E106" s="5">
        <v>45684.0</v>
      </c>
      <c r="F106" s="2" t="str">
        <f>VLOOKUP(B106,Customers!A:B,2,FALSE)</f>
        <v>Aisha Malhotra</v>
      </c>
      <c r="G106" s="2" t="str">
        <f>VLOOKUP(C106,Products!A:B,2,FALSE)</f>
        <v>Smartwatch</v>
      </c>
      <c r="H106" s="2" t="str">
        <f>VLOOKUP(C106,Products!A:C,3,FALSE)</f>
        <v>Electronics</v>
      </c>
      <c r="I106" s="2">
        <f>VLOOKUP(C106,Products!A:D,4,FALSE)</f>
        <v>61749</v>
      </c>
      <c r="J106" s="2">
        <f t="shared" si="1"/>
        <v>61749</v>
      </c>
    </row>
    <row r="107">
      <c r="A107" s="2" t="s">
        <v>180</v>
      </c>
      <c r="B107" s="3" t="s">
        <v>181</v>
      </c>
      <c r="C107" s="4" t="s">
        <v>104</v>
      </c>
      <c r="D107" s="2">
        <v>4.0</v>
      </c>
      <c r="E107" s="5">
        <v>45768.0</v>
      </c>
      <c r="F107" s="2" t="str">
        <f>VLOOKUP(B107,Customers!A:B,2,FALSE)</f>
        <v>Neha Kumari</v>
      </c>
      <c r="G107" s="2" t="str">
        <f>VLOOKUP(C107,Products!A:B,2,FALSE)</f>
        <v>Tablet</v>
      </c>
      <c r="H107" s="2" t="str">
        <f>VLOOKUP(C107,Products!A:C,3,FALSE)</f>
        <v>Electronics</v>
      </c>
      <c r="I107" s="2">
        <f>VLOOKUP(C107,Products!A:D,4,FALSE)</f>
        <v>61889</v>
      </c>
      <c r="J107" s="2">
        <f t="shared" si="1"/>
        <v>247556</v>
      </c>
    </row>
    <row r="108">
      <c r="A108" s="2" t="s">
        <v>182</v>
      </c>
      <c r="B108" s="3" t="s">
        <v>143</v>
      </c>
      <c r="C108" s="4" t="s">
        <v>151</v>
      </c>
      <c r="D108" s="2">
        <v>5.0</v>
      </c>
      <c r="E108" s="5">
        <v>45694.0</v>
      </c>
      <c r="F108" s="2" t="str">
        <f>VLOOKUP(B108,Customers!A:B,2,FALSE)</f>
        <v>Rahul mann</v>
      </c>
      <c r="G108" s="2" t="str">
        <f>VLOOKUP(C108,Products!A:B,2,FALSE)</f>
        <v>Speaker</v>
      </c>
      <c r="H108" s="2" t="str">
        <f>VLOOKUP(C108,Products!A:C,3,FALSE)</f>
        <v>Accessories</v>
      </c>
      <c r="I108" s="2">
        <f>VLOOKUP(C108,Products!A:D,4,FALSE)</f>
        <v>3985</v>
      </c>
      <c r="J108" s="2">
        <f t="shared" si="1"/>
        <v>19925</v>
      </c>
    </row>
    <row r="109">
      <c r="A109" s="2" t="s">
        <v>183</v>
      </c>
      <c r="B109" s="3" t="s">
        <v>69</v>
      </c>
      <c r="C109" s="4" t="s">
        <v>49</v>
      </c>
      <c r="D109" s="2">
        <v>5.0</v>
      </c>
      <c r="E109" s="5">
        <v>45774.0</v>
      </c>
      <c r="F109" s="2" t="str">
        <f>VLOOKUP(B109,Customers!A:B,2,FALSE)</f>
        <v>Neha Kumari</v>
      </c>
      <c r="G109" s="2" t="str">
        <f>VLOOKUP(C109,Products!A:B,2,FALSE)</f>
        <v>Tablet</v>
      </c>
      <c r="H109" s="2" t="str">
        <f>VLOOKUP(C109,Products!A:C,3,FALSE)</f>
        <v>Electronics</v>
      </c>
      <c r="I109" s="2">
        <f>VLOOKUP(C109,Products!A:D,4,FALSE)</f>
        <v>40192</v>
      </c>
      <c r="J109" s="2">
        <f t="shared" si="1"/>
        <v>200960</v>
      </c>
    </row>
    <row r="110">
      <c r="A110" s="2" t="s">
        <v>184</v>
      </c>
      <c r="B110" s="3" t="s">
        <v>126</v>
      </c>
      <c r="C110" s="4" t="s">
        <v>24</v>
      </c>
      <c r="D110" s="2">
        <v>3.0</v>
      </c>
      <c r="E110" s="5">
        <v>45765.0</v>
      </c>
      <c r="F110" s="2" t="str">
        <f>VLOOKUP(B110,Customers!A:B,2,FALSE)</f>
        <v>Meera</v>
      </c>
      <c r="G110" s="2" t="str">
        <f>VLOOKUP(C110,Products!A:B,2,FALSE)</f>
        <v>Keyboard</v>
      </c>
      <c r="H110" s="2" t="str">
        <f>VLOOKUP(C110,Products!A:C,3,FALSE)</f>
        <v>Accessories</v>
      </c>
      <c r="I110" s="2">
        <f>VLOOKUP(C110,Products!A:D,4,FALSE)</f>
        <v>2426</v>
      </c>
      <c r="J110" s="2">
        <f t="shared" si="1"/>
        <v>7278</v>
      </c>
    </row>
    <row r="111">
      <c r="A111" s="2" t="s">
        <v>185</v>
      </c>
      <c r="B111" s="3" t="s">
        <v>143</v>
      </c>
      <c r="C111" s="4" t="s">
        <v>40</v>
      </c>
      <c r="D111" s="2">
        <v>1.0</v>
      </c>
      <c r="E111" s="5">
        <v>45696.0</v>
      </c>
      <c r="F111" s="2" t="str">
        <f>VLOOKUP(B111,Customers!A:B,2,FALSE)</f>
        <v>Rahul mann</v>
      </c>
      <c r="G111" s="2" t="str">
        <f>VLOOKUP(C111,Products!A:B,2,FALSE)</f>
        <v>Phone</v>
      </c>
      <c r="H111" s="2" t="str">
        <f>VLOOKUP(C111,Products!A:C,3,FALSE)</f>
        <v>Electronics</v>
      </c>
      <c r="I111" s="2">
        <f>VLOOKUP(C111,Products!A:D,4,FALSE)</f>
        <v>50972</v>
      </c>
      <c r="J111" s="2">
        <f t="shared" si="1"/>
        <v>50972</v>
      </c>
    </row>
    <row r="112">
      <c r="A112" s="2" t="s">
        <v>186</v>
      </c>
      <c r="B112" s="3" t="s">
        <v>64</v>
      </c>
      <c r="C112" s="4" t="s">
        <v>80</v>
      </c>
      <c r="D112" s="2">
        <v>1.0</v>
      </c>
      <c r="E112" s="5">
        <v>45675.0</v>
      </c>
      <c r="F112" s="2" t="str">
        <f>VLOOKUP(B112,Customers!A:B,2,FALSE)</f>
        <v>John Smith</v>
      </c>
      <c r="G112" s="2" t="str">
        <f>VLOOKUP(C112,Products!A:B,2,FALSE)</f>
        <v>Phone</v>
      </c>
      <c r="H112" s="2" t="str">
        <f>VLOOKUP(C112,Products!A:C,3,FALSE)</f>
        <v>Electronics</v>
      </c>
      <c r="I112" s="2">
        <f>VLOOKUP(C112,Products!A:D,4,FALSE)</f>
        <v>21434</v>
      </c>
      <c r="J112" s="2">
        <f t="shared" si="1"/>
        <v>21434</v>
      </c>
    </row>
    <row r="113">
      <c r="A113" s="2" t="s">
        <v>187</v>
      </c>
      <c r="B113" s="3" t="s">
        <v>86</v>
      </c>
      <c r="C113" s="4" t="s">
        <v>49</v>
      </c>
      <c r="D113" s="2">
        <v>4.0</v>
      </c>
      <c r="E113" s="5">
        <v>45791.0</v>
      </c>
      <c r="F113" s="2" t="str">
        <f>VLOOKUP(B113,Customers!A:B,2,FALSE)</f>
        <v>Neha Kumari</v>
      </c>
      <c r="G113" s="2" t="str">
        <f>VLOOKUP(C113,Products!A:B,2,FALSE)</f>
        <v>Tablet</v>
      </c>
      <c r="H113" s="2" t="str">
        <f>VLOOKUP(C113,Products!A:C,3,FALSE)</f>
        <v>Electronics</v>
      </c>
      <c r="I113" s="2">
        <f>VLOOKUP(C113,Products!A:D,4,FALSE)</f>
        <v>40192</v>
      </c>
      <c r="J113" s="2">
        <f t="shared" si="1"/>
        <v>160768</v>
      </c>
    </row>
    <row r="114">
      <c r="A114" s="2" t="s">
        <v>188</v>
      </c>
      <c r="B114" s="3" t="s">
        <v>23</v>
      </c>
      <c r="C114" s="4" t="s">
        <v>80</v>
      </c>
      <c r="D114" s="2">
        <v>3.0</v>
      </c>
      <c r="E114" s="5">
        <v>45827.0</v>
      </c>
      <c r="F114" s="2" t="str">
        <f>VLOOKUP(B114,Customers!A:B,2,FALSE)</f>
        <v>Sara Khan </v>
      </c>
      <c r="G114" s="2" t="str">
        <f>VLOOKUP(C114,Products!A:B,2,FALSE)</f>
        <v>Phone</v>
      </c>
      <c r="H114" s="2" t="str">
        <f>VLOOKUP(C114,Products!A:C,3,FALSE)</f>
        <v>Electronics</v>
      </c>
      <c r="I114" s="2">
        <f>VLOOKUP(C114,Products!A:D,4,FALSE)</f>
        <v>21434</v>
      </c>
      <c r="J114" s="2">
        <f t="shared" si="1"/>
        <v>64302</v>
      </c>
    </row>
    <row r="115">
      <c r="A115" s="2" t="s">
        <v>189</v>
      </c>
      <c r="B115" s="3" t="s">
        <v>60</v>
      </c>
      <c r="C115" s="4" t="s">
        <v>55</v>
      </c>
      <c r="D115" s="2">
        <v>1.0</v>
      </c>
      <c r="E115" s="5">
        <v>45728.0</v>
      </c>
      <c r="F115" s="2" t="str">
        <f>VLOOKUP(B115,Customers!A:B,2,FALSE)</f>
        <v>Priya Verma</v>
      </c>
      <c r="G115" s="2" t="str">
        <f>VLOOKUP(C115,Products!A:B,2,FALSE)</f>
        <v>Speaker</v>
      </c>
      <c r="H115" s="2" t="str">
        <f>VLOOKUP(C115,Products!A:C,3,FALSE)</f>
        <v>Accessories</v>
      </c>
      <c r="I115" s="2">
        <f>VLOOKUP(C115,Products!A:D,4,FALSE)</f>
        <v>3408</v>
      </c>
      <c r="J115" s="2">
        <f t="shared" si="1"/>
        <v>3408</v>
      </c>
    </row>
    <row r="116">
      <c r="A116" s="2" t="s">
        <v>190</v>
      </c>
      <c r="B116" s="3" t="s">
        <v>95</v>
      </c>
      <c r="C116" s="4" t="s">
        <v>40</v>
      </c>
      <c r="D116" s="2">
        <v>5.0</v>
      </c>
      <c r="E116" s="5">
        <v>45699.0</v>
      </c>
      <c r="F116" s="2" t="str">
        <f>VLOOKUP(B116,Customers!A:B,2,FALSE)</f>
        <v>Arjun Sharma</v>
      </c>
      <c r="G116" s="2" t="str">
        <f>VLOOKUP(C116,Products!A:B,2,FALSE)</f>
        <v>Phone</v>
      </c>
      <c r="H116" s="2" t="str">
        <f>VLOOKUP(C116,Products!A:C,3,FALSE)</f>
        <v>Electronics</v>
      </c>
      <c r="I116" s="2">
        <f>VLOOKUP(C116,Products!A:D,4,FALSE)</f>
        <v>50972</v>
      </c>
      <c r="J116" s="2">
        <f t="shared" si="1"/>
        <v>254860</v>
      </c>
    </row>
    <row r="117">
      <c r="A117" s="2" t="s">
        <v>191</v>
      </c>
      <c r="B117" s="3" t="s">
        <v>181</v>
      </c>
      <c r="C117" s="4" t="s">
        <v>65</v>
      </c>
      <c r="D117" s="2">
        <v>3.0</v>
      </c>
      <c r="E117" s="5">
        <v>45749.0</v>
      </c>
      <c r="F117" s="2" t="str">
        <f>VLOOKUP(B117,Customers!A:B,2,FALSE)</f>
        <v>Neha Kumari</v>
      </c>
      <c r="G117" s="2" t="str">
        <f>VLOOKUP(C117,Products!A:B,2,FALSE)</f>
        <v>Mouse</v>
      </c>
      <c r="H117" s="2" t="str">
        <f>VLOOKUP(C117,Products!A:C,3,FALSE)</f>
        <v>Accessories</v>
      </c>
      <c r="I117" s="2">
        <f>VLOOKUP(C117,Products!A:D,4,FALSE)</f>
        <v>2899</v>
      </c>
      <c r="J117" s="2">
        <f t="shared" si="1"/>
        <v>8697</v>
      </c>
    </row>
    <row r="118">
      <c r="A118" s="2" t="s">
        <v>192</v>
      </c>
      <c r="B118" s="3" t="s">
        <v>100</v>
      </c>
      <c r="C118" s="4" t="s">
        <v>18</v>
      </c>
      <c r="D118" s="2">
        <v>2.0</v>
      </c>
      <c r="E118" s="5">
        <v>45725.0</v>
      </c>
      <c r="F118" s="2" t="str">
        <f>VLOOKUP(B118,Customers!A:B,2,FALSE)</f>
        <v>John Smith</v>
      </c>
      <c r="G118" s="2" t="str">
        <f>VLOOKUP(C118,Products!A:B,2,FALSE)</f>
        <v>Headphones</v>
      </c>
      <c r="H118" s="2" t="str">
        <f>VLOOKUP(C118,Products!A:C,3,FALSE)</f>
        <v>Accessories</v>
      </c>
      <c r="I118" s="2">
        <f>VLOOKUP(C118,Products!A:D,4,FALSE)</f>
        <v>2760</v>
      </c>
      <c r="J118" s="2">
        <f t="shared" si="1"/>
        <v>5520</v>
      </c>
    </row>
    <row r="119">
      <c r="A119" s="2" t="s">
        <v>193</v>
      </c>
      <c r="B119" s="3" t="s">
        <v>33</v>
      </c>
      <c r="C119" s="4" t="s">
        <v>12</v>
      </c>
      <c r="D119" s="2">
        <v>4.0</v>
      </c>
      <c r="E119" s="5">
        <v>45664.0</v>
      </c>
      <c r="F119" s="2" t="str">
        <f>VLOOKUP(B119,Customers!A:B,2,FALSE)</f>
        <v>Vikram Roy</v>
      </c>
      <c r="G119" s="2" t="str">
        <f>VLOOKUP(C119,Products!A:B,2,FALSE)</f>
        <v>Laptop</v>
      </c>
      <c r="H119" s="2" t="str">
        <f>VLOOKUP(C119,Products!A:C,3,FALSE)</f>
        <v>Electronics</v>
      </c>
      <c r="I119" s="2">
        <f>VLOOKUP(C119,Products!A:D,4,FALSE)</f>
        <v>62520</v>
      </c>
      <c r="J119" s="2">
        <f t="shared" si="1"/>
        <v>250080</v>
      </c>
    </row>
    <row r="120">
      <c r="A120" s="2" t="s">
        <v>194</v>
      </c>
      <c r="B120" s="3" t="s">
        <v>53</v>
      </c>
      <c r="C120" s="4" t="s">
        <v>151</v>
      </c>
      <c r="D120" s="2">
        <v>5.0</v>
      </c>
      <c r="E120" s="5">
        <v>45704.0</v>
      </c>
      <c r="F120" s="2" t="str">
        <f>VLOOKUP(B120,Customers!A:B,2,FALSE)</f>
        <v>Aisha Malhotra</v>
      </c>
      <c r="G120" s="2" t="str">
        <f>VLOOKUP(C120,Products!A:B,2,FALSE)</f>
        <v>Speaker</v>
      </c>
      <c r="H120" s="2" t="str">
        <f>VLOOKUP(C120,Products!A:C,3,FALSE)</f>
        <v>Accessories</v>
      </c>
      <c r="I120" s="2">
        <f>VLOOKUP(C120,Products!A:D,4,FALSE)</f>
        <v>3985</v>
      </c>
      <c r="J120" s="2">
        <f t="shared" si="1"/>
        <v>19925</v>
      </c>
    </row>
    <row r="121">
      <c r="A121" s="2" t="s">
        <v>195</v>
      </c>
      <c r="B121" s="3" t="s">
        <v>181</v>
      </c>
      <c r="C121" s="4" t="s">
        <v>49</v>
      </c>
      <c r="D121" s="2">
        <v>1.0</v>
      </c>
      <c r="E121" s="5">
        <v>45806.0</v>
      </c>
      <c r="F121" s="2" t="str">
        <f>VLOOKUP(B121,Customers!A:B,2,FALSE)</f>
        <v>Neha Kumari</v>
      </c>
      <c r="G121" s="2" t="str">
        <f>VLOOKUP(C121,Products!A:B,2,FALSE)</f>
        <v>Tablet</v>
      </c>
      <c r="H121" s="2" t="str">
        <f>VLOOKUP(C121,Products!A:C,3,FALSE)</f>
        <v>Electronics</v>
      </c>
      <c r="I121" s="2">
        <f>VLOOKUP(C121,Products!A:D,4,FALSE)</f>
        <v>40192</v>
      </c>
      <c r="J121" s="2">
        <f t="shared" si="1"/>
        <v>40192</v>
      </c>
    </row>
    <row r="122">
      <c r="A122" s="2" t="s">
        <v>196</v>
      </c>
      <c r="B122" s="3" t="s">
        <v>20</v>
      </c>
      <c r="C122" s="4" t="s">
        <v>151</v>
      </c>
      <c r="D122" s="2">
        <v>5.0</v>
      </c>
      <c r="E122" s="5">
        <v>45751.0</v>
      </c>
      <c r="F122" s="2" t="str">
        <f>VLOOKUP(B122,Customers!A:B,2,FALSE)</f>
        <v>John Smith</v>
      </c>
      <c r="G122" s="2" t="str">
        <f>VLOOKUP(C122,Products!A:B,2,FALSE)</f>
        <v>Speaker</v>
      </c>
      <c r="H122" s="2" t="str">
        <f>VLOOKUP(C122,Products!A:C,3,FALSE)</f>
        <v>Accessories</v>
      </c>
      <c r="I122" s="2">
        <f>VLOOKUP(C122,Products!A:D,4,FALSE)</f>
        <v>3985</v>
      </c>
      <c r="J122" s="2">
        <f t="shared" si="1"/>
        <v>19925</v>
      </c>
    </row>
    <row r="123">
      <c r="A123" s="2" t="s">
        <v>197</v>
      </c>
      <c r="B123" s="3" t="s">
        <v>48</v>
      </c>
      <c r="C123" s="4" t="s">
        <v>151</v>
      </c>
      <c r="D123" s="2">
        <v>2.0</v>
      </c>
      <c r="E123" s="5">
        <v>45782.0</v>
      </c>
      <c r="F123" s="2" t="str">
        <f>VLOOKUP(B123,Customers!A:B,2,FALSE)</f>
        <v>Neha Kumari</v>
      </c>
      <c r="G123" s="2" t="str">
        <f>VLOOKUP(C123,Products!A:B,2,FALSE)</f>
        <v>Speaker</v>
      </c>
      <c r="H123" s="2" t="str">
        <f>VLOOKUP(C123,Products!A:C,3,FALSE)</f>
        <v>Accessories</v>
      </c>
      <c r="I123" s="2">
        <f>VLOOKUP(C123,Products!A:D,4,FALSE)</f>
        <v>3985</v>
      </c>
      <c r="J123" s="2">
        <f t="shared" si="1"/>
        <v>7970</v>
      </c>
    </row>
    <row r="124">
      <c r="A124" s="2" t="s">
        <v>198</v>
      </c>
      <c r="B124" s="3" t="s">
        <v>90</v>
      </c>
      <c r="C124" s="4" t="s">
        <v>80</v>
      </c>
      <c r="D124" s="2">
        <v>3.0</v>
      </c>
      <c r="E124" s="5">
        <v>45806.0</v>
      </c>
      <c r="F124" s="2" t="str">
        <f>VLOOKUP(B124,Customers!A:B,2,FALSE)</f>
        <v>Aisha Malhotra</v>
      </c>
      <c r="G124" s="2" t="str">
        <f>VLOOKUP(C124,Products!A:B,2,FALSE)</f>
        <v>Phone</v>
      </c>
      <c r="H124" s="2" t="str">
        <f>VLOOKUP(C124,Products!A:C,3,FALSE)</f>
        <v>Electronics</v>
      </c>
      <c r="I124" s="2">
        <f>VLOOKUP(C124,Products!A:D,4,FALSE)</f>
        <v>21434</v>
      </c>
      <c r="J124" s="2">
        <f t="shared" si="1"/>
        <v>64302</v>
      </c>
    </row>
    <row r="125">
      <c r="A125" s="2" t="s">
        <v>199</v>
      </c>
      <c r="B125" s="3" t="s">
        <v>102</v>
      </c>
      <c r="C125" s="4" t="s">
        <v>24</v>
      </c>
      <c r="D125" s="2">
        <v>2.0</v>
      </c>
      <c r="E125" s="5">
        <v>45803.0</v>
      </c>
      <c r="F125" s="2" t="str">
        <f>VLOOKUP(B125,Customers!A:B,2,FALSE)</f>
        <v>Sara Khan </v>
      </c>
      <c r="G125" s="2" t="str">
        <f>VLOOKUP(C125,Products!A:B,2,FALSE)</f>
        <v>Keyboard</v>
      </c>
      <c r="H125" s="2" t="str">
        <f>VLOOKUP(C125,Products!A:C,3,FALSE)</f>
        <v>Accessories</v>
      </c>
      <c r="I125" s="2">
        <f>VLOOKUP(C125,Products!A:D,4,FALSE)</f>
        <v>2426</v>
      </c>
      <c r="J125" s="2">
        <f t="shared" si="1"/>
        <v>4852</v>
      </c>
    </row>
    <row r="126">
      <c r="A126" s="2" t="s">
        <v>200</v>
      </c>
      <c r="B126" s="3" t="s">
        <v>110</v>
      </c>
      <c r="C126" s="4" t="s">
        <v>87</v>
      </c>
      <c r="D126" s="2">
        <v>3.0</v>
      </c>
      <c r="E126" s="5">
        <v>45776.0</v>
      </c>
      <c r="F126" s="2" t="str">
        <f>VLOOKUP(B126,Customers!A:B,2,FALSE)</f>
        <v>Vikram Roy</v>
      </c>
      <c r="G126" s="2" t="str">
        <f>VLOOKUP(C126,Products!A:B,2,FALSE)</f>
        <v>Tablet</v>
      </c>
      <c r="H126" s="2" t="str">
        <f>VLOOKUP(C126,Products!A:C,3,FALSE)</f>
        <v>Electronics</v>
      </c>
      <c r="I126" s="2">
        <f>VLOOKUP(C126,Products!A:D,4,FALSE)</f>
        <v>65755</v>
      </c>
      <c r="J126" s="2">
        <f t="shared" si="1"/>
        <v>197265</v>
      </c>
    </row>
    <row r="127">
      <c r="A127" s="2" t="s">
        <v>201</v>
      </c>
      <c r="B127" s="3" t="s">
        <v>39</v>
      </c>
      <c r="C127" s="4" t="s">
        <v>43</v>
      </c>
      <c r="D127" s="2">
        <v>3.0</v>
      </c>
      <c r="E127" s="5">
        <v>45707.0</v>
      </c>
      <c r="F127" s="2" t="str">
        <f>VLOOKUP(B127,Customers!A:B,2,FALSE)</f>
        <v>Priya Verma</v>
      </c>
      <c r="G127" s="2" t="str">
        <f>VLOOKUP(C127,Products!A:B,2,FALSE)</f>
        <v>Headphones</v>
      </c>
      <c r="H127" s="2" t="str">
        <f>VLOOKUP(C127,Products!A:C,3,FALSE)</f>
        <v>Accessories</v>
      </c>
      <c r="I127" s="2">
        <f>VLOOKUP(C127,Products!A:D,4,FALSE)</f>
        <v>1821</v>
      </c>
      <c r="J127" s="2">
        <f t="shared" si="1"/>
        <v>5463</v>
      </c>
    </row>
    <row r="128">
      <c r="A128" s="2" t="s">
        <v>202</v>
      </c>
      <c r="B128" s="3" t="s">
        <v>181</v>
      </c>
      <c r="C128" s="4" t="s">
        <v>75</v>
      </c>
      <c r="D128" s="2">
        <v>1.0</v>
      </c>
      <c r="E128" s="5">
        <v>45742.0</v>
      </c>
      <c r="F128" s="2" t="str">
        <f>VLOOKUP(B128,Customers!A:B,2,FALSE)</f>
        <v>Neha Kumari</v>
      </c>
      <c r="G128" s="2" t="str">
        <f>VLOOKUP(C128,Products!A:B,2,FALSE)</f>
        <v>Smartwatch</v>
      </c>
      <c r="H128" s="2" t="str">
        <f>VLOOKUP(C128,Products!A:C,3,FALSE)</f>
        <v>Electronics</v>
      </c>
      <c r="I128" s="2">
        <f>VLOOKUP(C128,Products!A:D,4,FALSE)</f>
        <v>61749</v>
      </c>
      <c r="J128" s="2">
        <f t="shared" si="1"/>
        <v>61749</v>
      </c>
    </row>
    <row r="129">
      <c r="A129" s="2" t="s">
        <v>203</v>
      </c>
      <c r="B129" s="3" t="s">
        <v>124</v>
      </c>
      <c r="C129" s="4" t="s">
        <v>80</v>
      </c>
      <c r="D129" s="2">
        <v>5.0</v>
      </c>
      <c r="E129" s="5">
        <v>45739.0</v>
      </c>
      <c r="F129" s="2" t="str">
        <f>VLOOKUP(B129,Customers!A:B,2,FALSE)</f>
        <v>Vikram Roy</v>
      </c>
      <c r="G129" s="2" t="str">
        <f>VLOOKUP(C129,Products!A:B,2,FALSE)</f>
        <v>Phone</v>
      </c>
      <c r="H129" s="2" t="str">
        <f>VLOOKUP(C129,Products!A:C,3,FALSE)</f>
        <v>Electronics</v>
      </c>
      <c r="I129" s="2">
        <f>VLOOKUP(C129,Products!A:D,4,FALSE)</f>
        <v>21434</v>
      </c>
      <c r="J129" s="2">
        <f t="shared" si="1"/>
        <v>107170</v>
      </c>
    </row>
    <row r="130">
      <c r="A130" s="2" t="s">
        <v>204</v>
      </c>
      <c r="B130" s="3" t="s">
        <v>60</v>
      </c>
      <c r="C130" s="4" t="s">
        <v>57</v>
      </c>
      <c r="D130" s="2">
        <v>5.0</v>
      </c>
      <c r="E130" s="5">
        <v>45813.0</v>
      </c>
      <c r="F130" s="2" t="str">
        <f>VLOOKUP(B130,Customers!A:B,2,FALSE)</f>
        <v>Priya Verma</v>
      </c>
      <c r="G130" s="2" t="str">
        <f>VLOOKUP(C130,Products!A:B,2,FALSE)</f>
        <v>Smartwatch</v>
      </c>
      <c r="H130" s="2" t="str">
        <f>VLOOKUP(C130,Products!A:C,3,FALSE)</f>
        <v>Electronics</v>
      </c>
      <c r="I130" s="2">
        <f>VLOOKUP(C130,Products!A:D,4,FALSE)</f>
        <v>20151</v>
      </c>
      <c r="J130" s="2">
        <f t="shared" si="1"/>
        <v>100755</v>
      </c>
    </row>
    <row r="131">
      <c r="A131" s="2" t="s">
        <v>205</v>
      </c>
      <c r="B131" s="3" t="s">
        <v>67</v>
      </c>
      <c r="C131" s="4" t="s">
        <v>70</v>
      </c>
      <c r="D131" s="2">
        <v>5.0</v>
      </c>
      <c r="E131" s="5">
        <v>45804.0</v>
      </c>
      <c r="F131" s="2" t="str">
        <f>VLOOKUP(B131,Customers!A:B,2,FALSE)</f>
        <v>Sara Khan </v>
      </c>
      <c r="G131" s="2" t="str">
        <f>VLOOKUP(C131,Products!A:B,2,FALSE)</f>
        <v>Tablet</v>
      </c>
      <c r="H131" s="2" t="str">
        <f>VLOOKUP(C131,Products!A:C,3,FALSE)</f>
        <v>Electronics</v>
      </c>
      <c r="I131" s="2">
        <f>VLOOKUP(C131,Products!A:D,4,FALSE)</f>
        <v>45245</v>
      </c>
      <c r="J131" s="2">
        <f t="shared" si="1"/>
        <v>226225</v>
      </c>
    </row>
    <row r="132">
      <c r="A132" s="2" t="s">
        <v>206</v>
      </c>
      <c r="B132" s="3" t="s">
        <v>124</v>
      </c>
      <c r="C132" s="4" t="s">
        <v>65</v>
      </c>
      <c r="D132" s="2">
        <v>2.0</v>
      </c>
      <c r="E132" s="5">
        <v>45672.0</v>
      </c>
      <c r="F132" s="2" t="str">
        <f>VLOOKUP(B132,Customers!A:B,2,FALSE)</f>
        <v>Vikram Roy</v>
      </c>
      <c r="G132" s="2" t="str">
        <f>VLOOKUP(C132,Products!A:B,2,FALSE)</f>
        <v>Mouse</v>
      </c>
      <c r="H132" s="2" t="str">
        <f>VLOOKUP(C132,Products!A:C,3,FALSE)</f>
        <v>Accessories</v>
      </c>
      <c r="I132" s="2">
        <f>VLOOKUP(C132,Products!A:D,4,FALSE)</f>
        <v>2899</v>
      </c>
      <c r="J132" s="2">
        <f t="shared" si="1"/>
        <v>5798</v>
      </c>
    </row>
    <row r="133">
      <c r="A133" s="2" t="s">
        <v>207</v>
      </c>
      <c r="B133" s="3" t="s">
        <v>86</v>
      </c>
      <c r="C133" s="4" t="s">
        <v>104</v>
      </c>
      <c r="D133" s="2">
        <v>2.0</v>
      </c>
      <c r="E133" s="5">
        <v>45760.0</v>
      </c>
      <c r="F133" s="2" t="str">
        <f>VLOOKUP(B133,Customers!A:B,2,FALSE)</f>
        <v>Neha Kumari</v>
      </c>
      <c r="G133" s="2" t="str">
        <f>VLOOKUP(C133,Products!A:B,2,FALSE)</f>
        <v>Tablet</v>
      </c>
      <c r="H133" s="2" t="str">
        <f>VLOOKUP(C133,Products!A:C,3,FALSE)</f>
        <v>Electronics</v>
      </c>
      <c r="I133" s="2">
        <f>VLOOKUP(C133,Products!A:D,4,FALSE)</f>
        <v>61889</v>
      </c>
      <c r="J133" s="2">
        <f t="shared" si="1"/>
        <v>123778</v>
      </c>
    </row>
    <row r="134">
      <c r="A134" s="2" t="s">
        <v>208</v>
      </c>
      <c r="B134" s="3" t="s">
        <v>14</v>
      </c>
      <c r="C134" s="4" t="s">
        <v>43</v>
      </c>
      <c r="D134" s="2">
        <v>2.0</v>
      </c>
      <c r="E134" s="5">
        <v>45708.0</v>
      </c>
      <c r="F134" s="2" t="str">
        <f>VLOOKUP(B134,Customers!A:B,2,FALSE)</f>
        <v>Priya Verma</v>
      </c>
      <c r="G134" s="2" t="str">
        <f>VLOOKUP(C134,Products!A:B,2,FALSE)</f>
        <v>Headphones</v>
      </c>
      <c r="H134" s="2" t="str">
        <f>VLOOKUP(C134,Products!A:C,3,FALSE)</f>
        <v>Accessories</v>
      </c>
      <c r="I134" s="2">
        <f>VLOOKUP(C134,Products!A:D,4,FALSE)</f>
        <v>1821</v>
      </c>
      <c r="J134" s="2">
        <f t="shared" si="1"/>
        <v>3642</v>
      </c>
    </row>
    <row r="135">
      <c r="A135" s="2" t="s">
        <v>209</v>
      </c>
      <c r="B135" s="3" t="s">
        <v>51</v>
      </c>
      <c r="C135" s="4" t="s">
        <v>40</v>
      </c>
      <c r="D135" s="2">
        <v>1.0</v>
      </c>
      <c r="E135" s="5">
        <v>45675.0</v>
      </c>
      <c r="F135" s="2" t="str">
        <f>VLOOKUP(B135,Customers!A:B,2,FALSE)</f>
        <v>David sun</v>
      </c>
      <c r="G135" s="2" t="str">
        <f>VLOOKUP(C135,Products!A:B,2,FALSE)</f>
        <v>Phone</v>
      </c>
      <c r="H135" s="2" t="str">
        <f>VLOOKUP(C135,Products!A:C,3,FALSE)</f>
        <v>Electronics</v>
      </c>
      <c r="I135" s="2">
        <f>VLOOKUP(C135,Products!A:D,4,FALSE)</f>
        <v>50972</v>
      </c>
      <c r="J135" s="2">
        <f t="shared" si="1"/>
        <v>50972</v>
      </c>
    </row>
    <row r="136">
      <c r="A136" s="2" t="s">
        <v>210</v>
      </c>
      <c r="B136" s="3" t="s">
        <v>98</v>
      </c>
      <c r="C136" s="4" t="s">
        <v>40</v>
      </c>
      <c r="D136" s="2">
        <v>1.0</v>
      </c>
      <c r="E136" s="5">
        <v>45672.0</v>
      </c>
      <c r="F136" s="2" t="str">
        <f>VLOOKUP(B136,Customers!A:B,2,FALSE)</f>
        <v>Rahul mann</v>
      </c>
      <c r="G136" s="2" t="str">
        <f>VLOOKUP(C136,Products!A:B,2,FALSE)</f>
        <v>Phone</v>
      </c>
      <c r="H136" s="2" t="str">
        <f>VLOOKUP(C136,Products!A:C,3,FALSE)</f>
        <v>Electronics</v>
      </c>
      <c r="I136" s="2">
        <f>VLOOKUP(C136,Products!A:D,4,FALSE)</f>
        <v>50972</v>
      </c>
      <c r="J136" s="2">
        <f t="shared" si="1"/>
        <v>50972</v>
      </c>
    </row>
    <row r="137">
      <c r="A137" s="2" t="s">
        <v>211</v>
      </c>
      <c r="B137" s="3" t="s">
        <v>95</v>
      </c>
      <c r="C137" s="4" t="s">
        <v>12</v>
      </c>
      <c r="D137" s="2">
        <v>1.0</v>
      </c>
      <c r="E137" s="5">
        <v>45786.0</v>
      </c>
      <c r="F137" s="2" t="str">
        <f>VLOOKUP(B137,Customers!A:B,2,FALSE)</f>
        <v>Arjun Sharma</v>
      </c>
      <c r="G137" s="2" t="str">
        <f>VLOOKUP(C137,Products!A:B,2,FALSE)</f>
        <v>Laptop</v>
      </c>
      <c r="H137" s="2" t="str">
        <f>VLOOKUP(C137,Products!A:C,3,FALSE)</f>
        <v>Electronics</v>
      </c>
      <c r="I137" s="2">
        <f>VLOOKUP(C137,Products!A:D,4,FALSE)</f>
        <v>62520</v>
      </c>
      <c r="J137" s="2">
        <f t="shared" si="1"/>
        <v>62520</v>
      </c>
    </row>
    <row r="138">
      <c r="A138" s="2" t="s">
        <v>212</v>
      </c>
      <c r="B138" s="3" t="s">
        <v>213</v>
      </c>
      <c r="C138" s="4" t="s">
        <v>75</v>
      </c>
      <c r="D138" s="2">
        <v>2.0</v>
      </c>
      <c r="E138" s="5">
        <v>45786.0</v>
      </c>
      <c r="F138" s="2" t="str">
        <f>VLOOKUP(B138,Customers!A:B,2,FALSE)</f>
        <v>David sun</v>
      </c>
      <c r="G138" s="2" t="str">
        <f>VLOOKUP(C138,Products!A:B,2,FALSE)</f>
        <v>Smartwatch</v>
      </c>
      <c r="H138" s="2" t="str">
        <f>VLOOKUP(C138,Products!A:C,3,FALSE)</f>
        <v>Electronics</v>
      </c>
      <c r="I138" s="2">
        <f>VLOOKUP(C138,Products!A:D,4,FALSE)</f>
        <v>61749</v>
      </c>
      <c r="J138" s="2">
        <f t="shared" si="1"/>
        <v>123498</v>
      </c>
    </row>
    <row r="139">
      <c r="A139" s="2" t="s">
        <v>214</v>
      </c>
      <c r="B139" s="3" t="s">
        <v>143</v>
      </c>
      <c r="C139" s="4" t="s">
        <v>40</v>
      </c>
      <c r="D139" s="2">
        <v>2.0</v>
      </c>
      <c r="E139" s="5">
        <v>45764.0</v>
      </c>
      <c r="F139" s="2" t="str">
        <f>VLOOKUP(B139,Customers!A:B,2,FALSE)</f>
        <v>Rahul mann</v>
      </c>
      <c r="G139" s="2" t="str">
        <f>VLOOKUP(C139,Products!A:B,2,FALSE)</f>
        <v>Phone</v>
      </c>
      <c r="H139" s="2" t="str">
        <f>VLOOKUP(C139,Products!A:C,3,FALSE)</f>
        <v>Electronics</v>
      </c>
      <c r="I139" s="2">
        <f>VLOOKUP(C139,Products!A:D,4,FALSE)</f>
        <v>50972</v>
      </c>
      <c r="J139" s="2">
        <f t="shared" si="1"/>
        <v>101944</v>
      </c>
    </row>
    <row r="140">
      <c r="A140" s="2" t="s">
        <v>215</v>
      </c>
      <c r="B140" s="3" t="s">
        <v>166</v>
      </c>
      <c r="C140" s="4" t="s">
        <v>55</v>
      </c>
      <c r="D140" s="2">
        <v>5.0</v>
      </c>
      <c r="E140" s="5">
        <v>45660.0</v>
      </c>
      <c r="F140" s="2" t="str">
        <f>VLOOKUP(B140,Customers!A:B,2,FALSE)</f>
        <v>Rahul mann</v>
      </c>
      <c r="G140" s="2" t="str">
        <f>VLOOKUP(C140,Products!A:B,2,FALSE)</f>
        <v>Speaker</v>
      </c>
      <c r="H140" s="2" t="str">
        <f>VLOOKUP(C140,Products!A:C,3,FALSE)</f>
        <v>Accessories</v>
      </c>
      <c r="I140" s="2">
        <f>VLOOKUP(C140,Products!A:D,4,FALSE)</f>
        <v>3408</v>
      </c>
      <c r="J140" s="2">
        <f t="shared" si="1"/>
        <v>17040</v>
      </c>
    </row>
    <row r="141">
      <c r="A141" s="2" t="s">
        <v>216</v>
      </c>
      <c r="B141" s="3" t="s">
        <v>166</v>
      </c>
      <c r="C141" s="4" t="s">
        <v>55</v>
      </c>
      <c r="D141" s="2">
        <v>3.0</v>
      </c>
      <c r="E141" s="5">
        <v>45824.0</v>
      </c>
      <c r="F141" s="2" t="str">
        <f>VLOOKUP(B141,Customers!A:B,2,FALSE)</f>
        <v>Rahul mann</v>
      </c>
      <c r="G141" s="2" t="str">
        <f>VLOOKUP(C141,Products!A:B,2,FALSE)</f>
        <v>Speaker</v>
      </c>
      <c r="H141" s="2" t="str">
        <f>VLOOKUP(C141,Products!A:C,3,FALSE)</f>
        <v>Accessories</v>
      </c>
      <c r="I141" s="2">
        <f>VLOOKUP(C141,Products!A:D,4,FALSE)</f>
        <v>3408</v>
      </c>
      <c r="J141" s="2">
        <f t="shared" si="1"/>
        <v>10224</v>
      </c>
    </row>
    <row r="142">
      <c r="A142" s="2" t="s">
        <v>217</v>
      </c>
      <c r="B142" s="3" t="s">
        <v>23</v>
      </c>
      <c r="C142" s="4" t="s">
        <v>104</v>
      </c>
      <c r="D142" s="2">
        <v>2.0</v>
      </c>
      <c r="E142" s="5">
        <v>45744.0</v>
      </c>
      <c r="F142" s="2" t="str">
        <f>VLOOKUP(B142,Customers!A:B,2,FALSE)</f>
        <v>Sara Khan </v>
      </c>
      <c r="G142" s="2" t="str">
        <f>VLOOKUP(C142,Products!A:B,2,FALSE)</f>
        <v>Tablet</v>
      </c>
      <c r="H142" s="2" t="str">
        <f>VLOOKUP(C142,Products!A:C,3,FALSE)</f>
        <v>Electronics</v>
      </c>
      <c r="I142" s="2">
        <f>VLOOKUP(C142,Products!A:D,4,FALSE)</f>
        <v>61889</v>
      </c>
      <c r="J142" s="2">
        <f t="shared" si="1"/>
        <v>123778</v>
      </c>
    </row>
    <row r="143">
      <c r="A143" s="2" t="s">
        <v>218</v>
      </c>
      <c r="B143" s="3" t="s">
        <v>11</v>
      </c>
      <c r="C143" s="4" t="s">
        <v>15</v>
      </c>
      <c r="D143" s="2">
        <v>5.0</v>
      </c>
      <c r="E143" s="5">
        <v>45683.0</v>
      </c>
      <c r="F143" s="2" t="str">
        <f>VLOOKUP(B143,Customers!A:B,2,FALSE)</f>
        <v>Arjun Sharma</v>
      </c>
      <c r="G143" s="2" t="str">
        <f>VLOOKUP(C143,Products!A:B,2,FALSE)</f>
        <v>Phone</v>
      </c>
      <c r="H143" s="2" t="str">
        <f>VLOOKUP(C143,Products!A:C,3,FALSE)</f>
        <v>Electronics</v>
      </c>
      <c r="I143" s="2">
        <f>VLOOKUP(C143,Products!A:D,4,FALSE)</f>
        <v>59549</v>
      </c>
      <c r="J143" s="2">
        <f t="shared" si="1"/>
        <v>297745</v>
      </c>
    </row>
    <row r="144">
      <c r="A144" s="2" t="s">
        <v>219</v>
      </c>
      <c r="B144" s="3" t="s">
        <v>39</v>
      </c>
      <c r="C144" s="4" t="s">
        <v>21</v>
      </c>
      <c r="D144" s="2">
        <v>5.0</v>
      </c>
      <c r="E144" s="5">
        <v>45725.0</v>
      </c>
      <c r="F144" s="2" t="str">
        <f>VLOOKUP(B144,Customers!A:B,2,FALSE)</f>
        <v>Priya Verma</v>
      </c>
      <c r="G144" s="2" t="str">
        <f>VLOOKUP(C144,Products!A:B,2,FALSE)</f>
        <v>Mouse</v>
      </c>
      <c r="H144" s="2" t="str">
        <f>VLOOKUP(C144,Products!A:C,3,FALSE)</f>
        <v>Accessories</v>
      </c>
      <c r="I144" s="2">
        <f>VLOOKUP(C144,Products!A:D,4,FALSE)</f>
        <v>3649</v>
      </c>
      <c r="J144" s="2">
        <f t="shared" si="1"/>
        <v>18245</v>
      </c>
    </row>
    <row r="145">
      <c r="A145" s="2" t="s">
        <v>220</v>
      </c>
      <c r="B145" s="3" t="s">
        <v>83</v>
      </c>
      <c r="C145" s="4" t="s">
        <v>35</v>
      </c>
      <c r="D145" s="2">
        <v>1.0</v>
      </c>
      <c r="E145" s="5">
        <v>45816.0</v>
      </c>
      <c r="F145" s="2" t="str">
        <f>VLOOKUP(B145,Customers!A:B,2,FALSE)</f>
        <v>John Smith</v>
      </c>
      <c r="G145" s="2" t="str">
        <f>VLOOKUP(C145,Products!A:B,2,FALSE)</f>
        <v>Smartwatch</v>
      </c>
      <c r="H145" s="2" t="str">
        <f>VLOOKUP(C145,Products!A:C,3,FALSE)</f>
        <v>Electronics</v>
      </c>
      <c r="I145" s="2">
        <f>VLOOKUP(C145,Products!A:D,4,FALSE)</f>
        <v>49383</v>
      </c>
      <c r="J145" s="2">
        <f t="shared" si="1"/>
        <v>49383</v>
      </c>
    </row>
    <row r="146">
      <c r="A146" s="2" t="s">
        <v>221</v>
      </c>
      <c r="B146" s="3" t="s">
        <v>67</v>
      </c>
      <c r="C146" s="4" t="s">
        <v>70</v>
      </c>
      <c r="D146" s="2">
        <v>1.0</v>
      </c>
      <c r="E146" s="5">
        <v>45768.0</v>
      </c>
      <c r="F146" s="2" t="str">
        <f>VLOOKUP(B146,Customers!A:B,2,FALSE)</f>
        <v>Sara Khan </v>
      </c>
      <c r="G146" s="2" t="str">
        <f>VLOOKUP(C146,Products!A:B,2,FALSE)</f>
        <v>Tablet</v>
      </c>
      <c r="H146" s="2" t="str">
        <f>VLOOKUP(C146,Products!A:C,3,FALSE)</f>
        <v>Electronics</v>
      </c>
      <c r="I146" s="2">
        <f>VLOOKUP(C146,Products!A:D,4,FALSE)</f>
        <v>45245</v>
      </c>
      <c r="J146" s="2">
        <f t="shared" si="1"/>
        <v>45245</v>
      </c>
    </row>
    <row r="147">
      <c r="A147" s="2" t="s">
        <v>222</v>
      </c>
      <c r="B147" s="3" t="s">
        <v>93</v>
      </c>
      <c r="C147" s="4" t="s">
        <v>31</v>
      </c>
      <c r="D147" s="2">
        <v>4.0</v>
      </c>
      <c r="E147" s="5">
        <v>45711.0</v>
      </c>
      <c r="F147" s="2" t="str">
        <f>VLOOKUP(B147,Customers!A:B,2,FALSE)</f>
        <v>Meera</v>
      </c>
      <c r="G147" s="2" t="str">
        <f>VLOOKUP(C147,Products!A:B,2,FALSE)</f>
        <v>Monitor</v>
      </c>
      <c r="H147" s="2" t="str">
        <f>VLOOKUP(C147,Products!A:C,3,FALSE)</f>
        <v>Electronics</v>
      </c>
      <c r="I147" s="2">
        <f>VLOOKUP(C147,Products!A:D,4,FALSE)</f>
        <v>63079</v>
      </c>
      <c r="J147" s="2">
        <f t="shared" si="1"/>
        <v>252316</v>
      </c>
    </row>
    <row r="148">
      <c r="A148" s="2" t="s">
        <v>223</v>
      </c>
      <c r="B148" s="3" t="s">
        <v>79</v>
      </c>
      <c r="C148" s="4" t="s">
        <v>18</v>
      </c>
      <c r="D148" s="2">
        <v>4.0</v>
      </c>
      <c r="E148" s="5">
        <v>45825.0</v>
      </c>
      <c r="F148" s="2" t="str">
        <f>VLOOKUP(B148,Customers!A:B,2,FALSE)</f>
        <v>Priya Verma</v>
      </c>
      <c r="G148" s="2" t="str">
        <f>VLOOKUP(C148,Products!A:B,2,FALSE)</f>
        <v>Headphones</v>
      </c>
      <c r="H148" s="2" t="str">
        <f>VLOOKUP(C148,Products!A:C,3,FALSE)</f>
        <v>Accessories</v>
      </c>
      <c r="I148" s="2">
        <f>VLOOKUP(C148,Products!A:D,4,FALSE)</f>
        <v>2760</v>
      </c>
      <c r="J148" s="2">
        <f t="shared" si="1"/>
        <v>11040</v>
      </c>
    </row>
    <row r="149">
      <c r="A149" s="2" t="s">
        <v>224</v>
      </c>
      <c r="B149" s="3" t="s">
        <v>93</v>
      </c>
      <c r="C149" s="4" t="s">
        <v>65</v>
      </c>
      <c r="D149" s="2">
        <v>2.0</v>
      </c>
      <c r="E149" s="5">
        <v>45836.0</v>
      </c>
      <c r="F149" s="2" t="str">
        <f>VLOOKUP(B149,Customers!A:B,2,FALSE)</f>
        <v>Meera</v>
      </c>
      <c r="G149" s="2" t="str">
        <f>VLOOKUP(C149,Products!A:B,2,FALSE)</f>
        <v>Mouse</v>
      </c>
      <c r="H149" s="2" t="str">
        <f>VLOOKUP(C149,Products!A:C,3,FALSE)</f>
        <v>Accessories</v>
      </c>
      <c r="I149" s="2">
        <f>VLOOKUP(C149,Products!A:D,4,FALSE)</f>
        <v>2899</v>
      </c>
      <c r="J149" s="2">
        <f t="shared" si="1"/>
        <v>5798</v>
      </c>
    </row>
    <row r="150">
      <c r="A150" s="2" t="s">
        <v>225</v>
      </c>
      <c r="B150" s="3" t="s">
        <v>181</v>
      </c>
      <c r="C150" s="4" t="s">
        <v>104</v>
      </c>
      <c r="D150" s="2">
        <v>2.0</v>
      </c>
      <c r="E150" s="5">
        <v>45754.0</v>
      </c>
      <c r="F150" s="2" t="str">
        <f>VLOOKUP(B150,Customers!A:B,2,FALSE)</f>
        <v>Neha Kumari</v>
      </c>
      <c r="G150" s="2" t="str">
        <f>VLOOKUP(C150,Products!A:B,2,FALSE)</f>
        <v>Tablet</v>
      </c>
      <c r="H150" s="2" t="str">
        <f>VLOOKUP(C150,Products!A:C,3,FALSE)</f>
        <v>Electronics</v>
      </c>
      <c r="I150" s="2">
        <f>VLOOKUP(C150,Products!A:D,4,FALSE)</f>
        <v>61889</v>
      </c>
      <c r="J150" s="2">
        <f t="shared" si="1"/>
        <v>123778</v>
      </c>
    </row>
    <row r="151">
      <c r="A151" s="2" t="s">
        <v>226</v>
      </c>
      <c r="B151" s="3" t="s">
        <v>60</v>
      </c>
      <c r="C151" s="4" t="s">
        <v>57</v>
      </c>
      <c r="D151" s="2">
        <v>5.0</v>
      </c>
      <c r="E151" s="5">
        <v>45701.0</v>
      </c>
      <c r="F151" s="2" t="str">
        <f>VLOOKUP(B151,Customers!A:B,2,FALSE)</f>
        <v>Priya Verma</v>
      </c>
      <c r="G151" s="2" t="str">
        <f>VLOOKUP(C151,Products!A:B,2,FALSE)</f>
        <v>Smartwatch</v>
      </c>
      <c r="H151" s="2" t="str">
        <f>VLOOKUP(C151,Products!A:C,3,FALSE)</f>
        <v>Electronics</v>
      </c>
      <c r="I151" s="2">
        <f>VLOOKUP(C151,Products!A:D,4,FALSE)</f>
        <v>20151</v>
      </c>
      <c r="J151" s="2">
        <f t="shared" si="1"/>
        <v>100755</v>
      </c>
    </row>
    <row r="152">
      <c r="A152" s="2" t="s">
        <v>227</v>
      </c>
      <c r="B152" s="3" t="s">
        <v>102</v>
      </c>
      <c r="C152" s="4" t="s">
        <v>70</v>
      </c>
      <c r="D152" s="2">
        <v>3.0</v>
      </c>
      <c r="E152" s="5">
        <v>45764.0</v>
      </c>
      <c r="F152" s="2" t="str">
        <f>VLOOKUP(B152,Customers!A:B,2,FALSE)</f>
        <v>Sara Khan </v>
      </c>
      <c r="G152" s="2" t="str">
        <f>VLOOKUP(C152,Products!A:B,2,FALSE)</f>
        <v>Tablet</v>
      </c>
      <c r="H152" s="2" t="str">
        <f>VLOOKUP(C152,Products!A:C,3,FALSE)</f>
        <v>Electronics</v>
      </c>
      <c r="I152" s="2">
        <f>VLOOKUP(C152,Products!A:D,4,FALSE)</f>
        <v>45245</v>
      </c>
      <c r="J152" s="2">
        <f t="shared" si="1"/>
        <v>135735</v>
      </c>
    </row>
    <row r="153">
      <c r="A153" s="2" t="s">
        <v>228</v>
      </c>
      <c r="B153" s="3" t="s">
        <v>83</v>
      </c>
      <c r="C153" s="4" t="s">
        <v>55</v>
      </c>
      <c r="D153" s="2">
        <v>2.0</v>
      </c>
      <c r="E153" s="5">
        <v>45747.0</v>
      </c>
      <c r="F153" s="2" t="str">
        <f>VLOOKUP(B153,Customers!A:B,2,FALSE)</f>
        <v>John Smith</v>
      </c>
      <c r="G153" s="2" t="str">
        <f>VLOOKUP(C153,Products!A:B,2,FALSE)</f>
        <v>Speaker</v>
      </c>
      <c r="H153" s="2" t="str">
        <f>VLOOKUP(C153,Products!A:C,3,FALSE)</f>
        <v>Accessories</v>
      </c>
      <c r="I153" s="2">
        <f>VLOOKUP(C153,Products!A:D,4,FALSE)</f>
        <v>3408</v>
      </c>
      <c r="J153" s="2">
        <f t="shared" si="1"/>
        <v>6816</v>
      </c>
    </row>
    <row r="154">
      <c r="A154" s="2" t="s">
        <v>229</v>
      </c>
      <c r="B154" s="3" t="s">
        <v>106</v>
      </c>
      <c r="C154" s="4" t="s">
        <v>70</v>
      </c>
      <c r="D154" s="2">
        <v>5.0</v>
      </c>
      <c r="E154" s="5">
        <v>45801.0</v>
      </c>
      <c r="F154" s="2" t="str">
        <f>VLOOKUP(B154,Customers!A:B,2,FALSE)</f>
        <v>David sun</v>
      </c>
      <c r="G154" s="2" t="str">
        <f>VLOOKUP(C154,Products!A:B,2,FALSE)</f>
        <v>Tablet</v>
      </c>
      <c r="H154" s="2" t="str">
        <f>VLOOKUP(C154,Products!A:C,3,FALSE)</f>
        <v>Electronics</v>
      </c>
      <c r="I154" s="2">
        <f>VLOOKUP(C154,Products!A:D,4,FALSE)</f>
        <v>45245</v>
      </c>
      <c r="J154" s="2">
        <f t="shared" si="1"/>
        <v>226225</v>
      </c>
    </row>
    <row r="155">
      <c r="A155" s="2" t="s">
        <v>230</v>
      </c>
      <c r="B155" s="3" t="s">
        <v>37</v>
      </c>
      <c r="C155" s="4" t="s">
        <v>75</v>
      </c>
      <c r="D155" s="2">
        <v>5.0</v>
      </c>
      <c r="E155" s="5">
        <v>45703.0</v>
      </c>
      <c r="F155" s="2" t="str">
        <f>VLOOKUP(B155,Customers!A:B,2,FALSE)</f>
        <v>Arjun Sharma</v>
      </c>
      <c r="G155" s="2" t="str">
        <f>VLOOKUP(C155,Products!A:B,2,FALSE)</f>
        <v>Smartwatch</v>
      </c>
      <c r="H155" s="2" t="str">
        <f>VLOOKUP(C155,Products!A:C,3,FALSE)</f>
        <v>Electronics</v>
      </c>
      <c r="I155" s="2">
        <f>VLOOKUP(C155,Products!A:D,4,FALSE)</f>
        <v>61749</v>
      </c>
      <c r="J155" s="2">
        <f t="shared" si="1"/>
        <v>308745</v>
      </c>
    </row>
    <row r="156">
      <c r="A156" s="2" t="s">
        <v>231</v>
      </c>
      <c r="B156" s="3" t="s">
        <v>131</v>
      </c>
      <c r="C156" s="4" t="s">
        <v>80</v>
      </c>
      <c r="D156" s="2">
        <v>5.0</v>
      </c>
      <c r="E156" s="5">
        <v>45771.0</v>
      </c>
      <c r="F156" s="2" t="str">
        <f>VLOOKUP(B156,Customers!A:B,2,FALSE)</f>
        <v>John Smith</v>
      </c>
      <c r="G156" s="2" t="str">
        <f>VLOOKUP(C156,Products!A:B,2,FALSE)</f>
        <v>Phone</v>
      </c>
      <c r="H156" s="2" t="str">
        <f>VLOOKUP(C156,Products!A:C,3,FALSE)</f>
        <v>Electronics</v>
      </c>
      <c r="I156" s="2">
        <f>VLOOKUP(C156,Products!A:D,4,FALSE)</f>
        <v>21434</v>
      </c>
      <c r="J156" s="2">
        <f t="shared" si="1"/>
        <v>107170</v>
      </c>
    </row>
    <row r="157">
      <c r="A157" s="2" t="s">
        <v>232</v>
      </c>
      <c r="B157" s="3" t="s">
        <v>122</v>
      </c>
      <c r="C157" s="4" t="s">
        <v>55</v>
      </c>
      <c r="D157" s="2">
        <v>3.0</v>
      </c>
      <c r="E157" s="5">
        <v>45748.0</v>
      </c>
      <c r="F157" s="2" t="str">
        <f>VLOOKUP(B157,Customers!A:B,2,FALSE)</f>
        <v>Aisha Malhotra</v>
      </c>
      <c r="G157" s="2" t="str">
        <f>VLOOKUP(C157,Products!A:B,2,FALSE)</f>
        <v>Speaker</v>
      </c>
      <c r="H157" s="2" t="str">
        <f>VLOOKUP(C157,Products!A:C,3,FALSE)</f>
        <v>Accessories</v>
      </c>
      <c r="I157" s="2">
        <f>VLOOKUP(C157,Products!A:D,4,FALSE)</f>
        <v>3408</v>
      </c>
      <c r="J157" s="2">
        <f t="shared" si="1"/>
        <v>10224</v>
      </c>
    </row>
    <row r="158">
      <c r="A158" s="2" t="s">
        <v>233</v>
      </c>
      <c r="B158" s="3" t="s">
        <v>14</v>
      </c>
      <c r="C158" s="4" t="s">
        <v>151</v>
      </c>
      <c r="D158" s="2">
        <v>4.0</v>
      </c>
      <c r="E158" s="5">
        <v>45811.0</v>
      </c>
      <c r="F158" s="2" t="str">
        <f>VLOOKUP(B158,Customers!A:B,2,FALSE)</f>
        <v>Priya Verma</v>
      </c>
      <c r="G158" s="2" t="str">
        <f>VLOOKUP(C158,Products!A:B,2,FALSE)</f>
        <v>Speaker</v>
      </c>
      <c r="H158" s="2" t="str">
        <f>VLOOKUP(C158,Products!A:C,3,FALSE)</f>
        <v>Accessories</v>
      </c>
      <c r="I158" s="2">
        <f>VLOOKUP(C158,Products!A:D,4,FALSE)</f>
        <v>3985</v>
      </c>
      <c r="J158" s="2">
        <f t="shared" si="1"/>
        <v>15940</v>
      </c>
    </row>
    <row r="159">
      <c r="A159" s="2" t="s">
        <v>234</v>
      </c>
      <c r="B159" s="3" t="s">
        <v>110</v>
      </c>
      <c r="C159" s="4" t="s">
        <v>43</v>
      </c>
      <c r="D159" s="2">
        <v>3.0</v>
      </c>
      <c r="E159" s="5">
        <v>45788.0</v>
      </c>
      <c r="F159" s="2" t="str">
        <f>VLOOKUP(B159,Customers!A:B,2,FALSE)</f>
        <v>Vikram Roy</v>
      </c>
      <c r="G159" s="2" t="str">
        <f>VLOOKUP(C159,Products!A:B,2,FALSE)</f>
        <v>Headphones</v>
      </c>
      <c r="H159" s="2" t="str">
        <f>VLOOKUP(C159,Products!A:C,3,FALSE)</f>
        <v>Accessories</v>
      </c>
      <c r="I159" s="2">
        <f>VLOOKUP(C159,Products!A:D,4,FALSE)</f>
        <v>1821</v>
      </c>
      <c r="J159" s="2">
        <f t="shared" si="1"/>
        <v>5463</v>
      </c>
    </row>
    <row r="160">
      <c r="A160" s="2" t="s">
        <v>235</v>
      </c>
      <c r="B160" s="3" t="s">
        <v>137</v>
      </c>
      <c r="C160" s="4" t="s">
        <v>57</v>
      </c>
      <c r="D160" s="2">
        <v>2.0</v>
      </c>
      <c r="E160" s="5">
        <v>45803.0</v>
      </c>
      <c r="F160" s="2" t="str">
        <f>VLOOKUP(B160,Customers!A:B,2,FALSE)</f>
        <v>Vikram Roy</v>
      </c>
      <c r="G160" s="2" t="str">
        <f>VLOOKUP(C160,Products!A:B,2,FALSE)</f>
        <v>Smartwatch</v>
      </c>
      <c r="H160" s="2" t="str">
        <f>VLOOKUP(C160,Products!A:C,3,FALSE)</f>
        <v>Electronics</v>
      </c>
      <c r="I160" s="2">
        <f>VLOOKUP(C160,Products!A:D,4,FALSE)</f>
        <v>20151</v>
      </c>
      <c r="J160" s="2">
        <f t="shared" si="1"/>
        <v>40302</v>
      </c>
    </row>
    <row r="161">
      <c r="A161" s="2" t="s">
        <v>236</v>
      </c>
      <c r="B161" s="3" t="s">
        <v>100</v>
      </c>
      <c r="C161" s="4" t="s">
        <v>29</v>
      </c>
      <c r="D161" s="2">
        <v>2.0</v>
      </c>
      <c r="E161" s="5">
        <v>45670.0</v>
      </c>
      <c r="F161" s="2" t="str">
        <f>VLOOKUP(B161,Customers!A:B,2,FALSE)</f>
        <v>John Smith</v>
      </c>
      <c r="G161" s="2" t="str">
        <f>VLOOKUP(C161,Products!A:B,2,FALSE)</f>
        <v>Charger</v>
      </c>
      <c r="H161" s="2" t="str">
        <f>VLOOKUP(C161,Products!A:C,3,FALSE)</f>
        <v>Accessories</v>
      </c>
      <c r="I161" s="2">
        <f>VLOOKUP(C161,Products!A:D,4,FALSE)</f>
        <v>586</v>
      </c>
      <c r="J161" s="2">
        <f t="shared" si="1"/>
        <v>1172</v>
      </c>
    </row>
    <row r="162">
      <c r="A162" s="2" t="s">
        <v>237</v>
      </c>
      <c r="B162" s="3" t="s">
        <v>122</v>
      </c>
      <c r="C162" s="4" t="s">
        <v>75</v>
      </c>
      <c r="D162" s="2">
        <v>4.0</v>
      </c>
      <c r="E162" s="5">
        <v>45782.0</v>
      </c>
      <c r="F162" s="2" t="str">
        <f>VLOOKUP(B162,Customers!A:B,2,FALSE)</f>
        <v>Aisha Malhotra</v>
      </c>
      <c r="G162" s="2" t="str">
        <f>VLOOKUP(C162,Products!A:B,2,FALSE)</f>
        <v>Smartwatch</v>
      </c>
      <c r="H162" s="2" t="str">
        <f>VLOOKUP(C162,Products!A:C,3,FALSE)</f>
        <v>Electronics</v>
      </c>
      <c r="I162" s="2">
        <f>VLOOKUP(C162,Products!A:D,4,FALSE)</f>
        <v>61749</v>
      </c>
      <c r="J162" s="2">
        <f t="shared" si="1"/>
        <v>246996</v>
      </c>
    </row>
    <row r="163">
      <c r="A163" s="2" t="s">
        <v>238</v>
      </c>
      <c r="B163" s="3" t="s">
        <v>53</v>
      </c>
      <c r="C163" s="4" t="s">
        <v>35</v>
      </c>
      <c r="D163" s="2">
        <v>5.0</v>
      </c>
      <c r="E163" s="5">
        <v>45721.0</v>
      </c>
      <c r="F163" s="2" t="str">
        <f>VLOOKUP(B163,Customers!A:B,2,FALSE)</f>
        <v>Aisha Malhotra</v>
      </c>
      <c r="G163" s="2" t="str">
        <f>VLOOKUP(C163,Products!A:B,2,FALSE)</f>
        <v>Smartwatch</v>
      </c>
      <c r="H163" s="2" t="str">
        <f>VLOOKUP(C163,Products!A:C,3,FALSE)</f>
        <v>Electronics</v>
      </c>
      <c r="I163" s="2">
        <f>VLOOKUP(C163,Products!A:D,4,FALSE)</f>
        <v>49383</v>
      </c>
      <c r="J163" s="2">
        <f t="shared" si="1"/>
        <v>246915</v>
      </c>
    </row>
    <row r="164">
      <c r="A164" s="2" t="s">
        <v>239</v>
      </c>
      <c r="B164" s="3" t="s">
        <v>23</v>
      </c>
      <c r="C164" s="4" t="s">
        <v>70</v>
      </c>
      <c r="D164" s="2">
        <v>2.0</v>
      </c>
      <c r="E164" s="5">
        <v>45739.0</v>
      </c>
      <c r="F164" s="2" t="str">
        <f>VLOOKUP(B164,Customers!A:B,2,FALSE)</f>
        <v>Sara Khan </v>
      </c>
      <c r="G164" s="2" t="str">
        <f>VLOOKUP(C164,Products!A:B,2,FALSE)</f>
        <v>Tablet</v>
      </c>
      <c r="H164" s="2" t="str">
        <f>VLOOKUP(C164,Products!A:C,3,FALSE)</f>
        <v>Electronics</v>
      </c>
      <c r="I164" s="2">
        <f>VLOOKUP(C164,Products!A:D,4,FALSE)</f>
        <v>45245</v>
      </c>
      <c r="J164" s="2">
        <f t="shared" si="1"/>
        <v>90490</v>
      </c>
    </row>
    <row r="165">
      <c r="A165" s="2" t="s">
        <v>240</v>
      </c>
      <c r="B165" s="3" t="s">
        <v>95</v>
      </c>
      <c r="C165" s="4" t="s">
        <v>75</v>
      </c>
      <c r="D165" s="2">
        <v>1.0</v>
      </c>
      <c r="E165" s="5">
        <v>45705.0</v>
      </c>
      <c r="F165" s="2" t="str">
        <f>VLOOKUP(B165,Customers!A:B,2,FALSE)</f>
        <v>Arjun Sharma</v>
      </c>
      <c r="G165" s="2" t="str">
        <f>VLOOKUP(C165,Products!A:B,2,FALSE)</f>
        <v>Smartwatch</v>
      </c>
      <c r="H165" s="2" t="str">
        <f>VLOOKUP(C165,Products!A:C,3,FALSE)</f>
        <v>Electronics</v>
      </c>
      <c r="I165" s="2">
        <f>VLOOKUP(C165,Products!A:D,4,FALSE)</f>
        <v>61749</v>
      </c>
      <c r="J165" s="2">
        <f t="shared" si="1"/>
        <v>61749</v>
      </c>
    </row>
    <row r="166">
      <c r="A166" s="2" t="s">
        <v>241</v>
      </c>
      <c r="B166" s="3" t="s">
        <v>181</v>
      </c>
      <c r="C166" s="4" t="s">
        <v>151</v>
      </c>
      <c r="D166" s="2">
        <v>2.0</v>
      </c>
      <c r="E166" s="5">
        <v>45776.0</v>
      </c>
      <c r="F166" s="2" t="str">
        <f>VLOOKUP(B166,Customers!A:B,2,FALSE)</f>
        <v>Neha Kumari</v>
      </c>
      <c r="G166" s="2" t="str">
        <f>VLOOKUP(C166,Products!A:B,2,FALSE)</f>
        <v>Speaker</v>
      </c>
      <c r="H166" s="2" t="str">
        <f>VLOOKUP(C166,Products!A:C,3,FALSE)</f>
        <v>Accessories</v>
      </c>
      <c r="I166" s="2">
        <f>VLOOKUP(C166,Products!A:D,4,FALSE)</f>
        <v>3985</v>
      </c>
      <c r="J166" s="2">
        <f t="shared" si="1"/>
        <v>7970</v>
      </c>
    </row>
    <row r="167">
      <c r="A167" s="2" t="s">
        <v>242</v>
      </c>
      <c r="B167" s="3" t="s">
        <v>98</v>
      </c>
      <c r="C167" s="4" t="s">
        <v>15</v>
      </c>
      <c r="D167" s="2">
        <v>1.0</v>
      </c>
      <c r="E167" s="5">
        <v>45706.0</v>
      </c>
      <c r="F167" s="2" t="str">
        <f>VLOOKUP(B167,Customers!A:B,2,FALSE)</f>
        <v>Rahul mann</v>
      </c>
      <c r="G167" s="2" t="str">
        <f>VLOOKUP(C167,Products!A:B,2,FALSE)</f>
        <v>Phone</v>
      </c>
      <c r="H167" s="2" t="str">
        <f>VLOOKUP(C167,Products!A:C,3,FALSE)</f>
        <v>Electronics</v>
      </c>
      <c r="I167" s="2">
        <f>VLOOKUP(C167,Products!A:D,4,FALSE)</f>
        <v>59549</v>
      </c>
      <c r="J167" s="2">
        <f t="shared" si="1"/>
        <v>59549</v>
      </c>
    </row>
    <row r="168">
      <c r="A168" s="2" t="s">
        <v>243</v>
      </c>
      <c r="B168" s="3" t="s">
        <v>90</v>
      </c>
      <c r="C168" s="4" t="s">
        <v>15</v>
      </c>
      <c r="D168" s="2">
        <v>2.0</v>
      </c>
      <c r="E168" s="5">
        <v>45727.0</v>
      </c>
      <c r="F168" s="2" t="str">
        <f>VLOOKUP(B168,Customers!A:B,2,FALSE)</f>
        <v>Aisha Malhotra</v>
      </c>
      <c r="G168" s="2" t="str">
        <f>VLOOKUP(C168,Products!A:B,2,FALSE)</f>
        <v>Phone</v>
      </c>
      <c r="H168" s="2" t="str">
        <f>VLOOKUP(C168,Products!A:C,3,FALSE)</f>
        <v>Electronics</v>
      </c>
      <c r="I168" s="2">
        <f>VLOOKUP(C168,Products!A:D,4,FALSE)</f>
        <v>59549</v>
      </c>
      <c r="J168" s="2">
        <f t="shared" si="1"/>
        <v>119098</v>
      </c>
    </row>
    <row r="169">
      <c r="A169" s="2" t="s">
        <v>244</v>
      </c>
      <c r="B169" s="3" t="s">
        <v>79</v>
      </c>
      <c r="C169" s="4" t="s">
        <v>35</v>
      </c>
      <c r="D169" s="2">
        <v>1.0</v>
      </c>
      <c r="E169" s="5">
        <v>45670.0</v>
      </c>
      <c r="F169" s="2" t="str">
        <f>VLOOKUP(B169,Customers!A:B,2,FALSE)</f>
        <v>Priya Verma</v>
      </c>
      <c r="G169" s="2" t="str">
        <f>VLOOKUP(C169,Products!A:B,2,FALSE)</f>
        <v>Smartwatch</v>
      </c>
      <c r="H169" s="2" t="str">
        <f>VLOOKUP(C169,Products!A:C,3,FALSE)</f>
        <v>Electronics</v>
      </c>
      <c r="I169" s="2">
        <f>VLOOKUP(C169,Products!A:D,4,FALSE)</f>
        <v>49383</v>
      </c>
      <c r="J169" s="2">
        <f t="shared" si="1"/>
        <v>49383</v>
      </c>
    </row>
    <row r="170">
      <c r="A170" s="2" t="s">
        <v>245</v>
      </c>
      <c r="B170" s="3" t="s">
        <v>95</v>
      </c>
      <c r="C170" s="4" t="s">
        <v>70</v>
      </c>
      <c r="D170" s="2">
        <v>2.0</v>
      </c>
      <c r="E170" s="5">
        <v>45667.0</v>
      </c>
      <c r="F170" s="2" t="str">
        <f>VLOOKUP(B170,Customers!A:B,2,FALSE)</f>
        <v>Arjun Sharma</v>
      </c>
      <c r="G170" s="2" t="str">
        <f>VLOOKUP(C170,Products!A:B,2,FALSE)</f>
        <v>Tablet</v>
      </c>
      <c r="H170" s="2" t="str">
        <f>VLOOKUP(C170,Products!A:C,3,FALSE)</f>
        <v>Electronics</v>
      </c>
      <c r="I170" s="2">
        <f>VLOOKUP(C170,Products!A:D,4,FALSE)</f>
        <v>45245</v>
      </c>
      <c r="J170" s="2">
        <f t="shared" si="1"/>
        <v>90490</v>
      </c>
    </row>
    <row r="171">
      <c r="A171" s="2" t="s">
        <v>246</v>
      </c>
      <c r="B171" s="3" t="s">
        <v>122</v>
      </c>
      <c r="C171" s="4" t="s">
        <v>12</v>
      </c>
      <c r="D171" s="2">
        <v>5.0</v>
      </c>
      <c r="E171" s="5">
        <v>45837.0</v>
      </c>
      <c r="F171" s="2" t="str">
        <f>VLOOKUP(B171,Customers!A:B,2,FALSE)</f>
        <v>Aisha Malhotra</v>
      </c>
      <c r="G171" s="2" t="str">
        <f>VLOOKUP(C171,Products!A:B,2,FALSE)</f>
        <v>Laptop</v>
      </c>
      <c r="H171" s="2" t="str">
        <f>VLOOKUP(C171,Products!A:C,3,FALSE)</f>
        <v>Electronics</v>
      </c>
      <c r="I171" s="2">
        <f>VLOOKUP(C171,Products!A:D,4,FALSE)</f>
        <v>62520</v>
      </c>
      <c r="J171" s="2">
        <f t="shared" si="1"/>
        <v>312600</v>
      </c>
    </row>
    <row r="172">
      <c r="A172" s="2" t="s">
        <v>247</v>
      </c>
      <c r="B172" s="3" t="s">
        <v>98</v>
      </c>
      <c r="C172" s="4" t="s">
        <v>12</v>
      </c>
      <c r="D172" s="2">
        <v>2.0</v>
      </c>
      <c r="E172" s="5">
        <v>45716.0</v>
      </c>
      <c r="F172" s="2" t="str">
        <f>VLOOKUP(B172,Customers!A:B,2,FALSE)</f>
        <v>Rahul mann</v>
      </c>
      <c r="G172" s="2" t="str">
        <f>VLOOKUP(C172,Products!A:B,2,FALSE)</f>
        <v>Laptop</v>
      </c>
      <c r="H172" s="2" t="str">
        <f>VLOOKUP(C172,Products!A:C,3,FALSE)</f>
        <v>Electronics</v>
      </c>
      <c r="I172" s="2">
        <f>VLOOKUP(C172,Products!A:D,4,FALSE)</f>
        <v>62520</v>
      </c>
      <c r="J172" s="2">
        <f t="shared" si="1"/>
        <v>125040</v>
      </c>
    </row>
    <row r="173">
      <c r="A173" s="2" t="s">
        <v>248</v>
      </c>
      <c r="B173" s="3" t="s">
        <v>42</v>
      </c>
      <c r="C173" s="4" t="s">
        <v>80</v>
      </c>
      <c r="D173" s="2">
        <v>1.0</v>
      </c>
      <c r="E173" s="5">
        <v>45773.0</v>
      </c>
      <c r="F173" s="2" t="str">
        <f>VLOOKUP(B173,Customers!A:B,2,FALSE)</f>
        <v>Rahul mann</v>
      </c>
      <c r="G173" s="2" t="str">
        <f>VLOOKUP(C173,Products!A:B,2,FALSE)</f>
        <v>Phone</v>
      </c>
      <c r="H173" s="2" t="str">
        <f>VLOOKUP(C173,Products!A:C,3,FALSE)</f>
        <v>Electronics</v>
      </c>
      <c r="I173" s="2">
        <f>VLOOKUP(C173,Products!A:D,4,FALSE)</f>
        <v>21434</v>
      </c>
      <c r="J173" s="2">
        <f t="shared" si="1"/>
        <v>21434</v>
      </c>
    </row>
    <row r="174">
      <c r="A174" s="2" t="s">
        <v>249</v>
      </c>
      <c r="B174" s="3" t="s">
        <v>79</v>
      </c>
      <c r="C174" s="4" t="s">
        <v>49</v>
      </c>
      <c r="D174" s="2">
        <v>1.0</v>
      </c>
      <c r="E174" s="5">
        <v>45667.0</v>
      </c>
      <c r="F174" s="2" t="str">
        <f>VLOOKUP(B174,Customers!A:B,2,FALSE)</f>
        <v>Priya Verma</v>
      </c>
      <c r="G174" s="2" t="str">
        <f>VLOOKUP(C174,Products!A:B,2,FALSE)</f>
        <v>Tablet</v>
      </c>
      <c r="H174" s="2" t="str">
        <f>VLOOKUP(C174,Products!A:C,3,FALSE)</f>
        <v>Electronics</v>
      </c>
      <c r="I174" s="2">
        <f>VLOOKUP(C174,Products!A:D,4,FALSE)</f>
        <v>40192</v>
      </c>
      <c r="J174" s="2">
        <f t="shared" si="1"/>
        <v>40192</v>
      </c>
    </row>
    <row r="175">
      <c r="A175" s="2" t="s">
        <v>250</v>
      </c>
      <c r="B175" s="3" t="s">
        <v>53</v>
      </c>
      <c r="C175" s="4" t="s">
        <v>57</v>
      </c>
      <c r="D175" s="2">
        <v>1.0</v>
      </c>
      <c r="E175" s="5">
        <v>45720.0</v>
      </c>
      <c r="F175" s="2" t="str">
        <f>VLOOKUP(B175,Customers!A:B,2,FALSE)</f>
        <v>Aisha Malhotra</v>
      </c>
      <c r="G175" s="2" t="str">
        <f>VLOOKUP(C175,Products!A:B,2,FALSE)</f>
        <v>Smartwatch</v>
      </c>
      <c r="H175" s="2" t="str">
        <f>VLOOKUP(C175,Products!A:C,3,FALSE)</f>
        <v>Electronics</v>
      </c>
      <c r="I175" s="2">
        <f>VLOOKUP(C175,Products!A:D,4,FALSE)</f>
        <v>20151</v>
      </c>
      <c r="J175" s="2">
        <f t="shared" si="1"/>
        <v>20151</v>
      </c>
    </row>
    <row r="176">
      <c r="A176" s="2" t="s">
        <v>251</v>
      </c>
      <c r="B176" s="3" t="s">
        <v>77</v>
      </c>
      <c r="C176" s="4" t="s">
        <v>75</v>
      </c>
      <c r="D176" s="2">
        <v>3.0</v>
      </c>
      <c r="E176" s="5">
        <v>45802.0</v>
      </c>
      <c r="F176" s="2" t="str">
        <f>VLOOKUP(B176,Customers!A:B,2,FALSE)</f>
        <v>Arjun Sharma</v>
      </c>
      <c r="G176" s="2" t="str">
        <f>VLOOKUP(C176,Products!A:B,2,FALSE)</f>
        <v>Smartwatch</v>
      </c>
      <c r="H176" s="2" t="str">
        <f>VLOOKUP(C176,Products!A:C,3,FALSE)</f>
        <v>Electronics</v>
      </c>
      <c r="I176" s="2">
        <f>VLOOKUP(C176,Products!A:D,4,FALSE)</f>
        <v>61749</v>
      </c>
      <c r="J176" s="2">
        <f t="shared" si="1"/>
        <v>185247</v>
      </c>
    </row>
    <row r="177">
      <c r="A177" s="2" t="s">
        <v>252</v>
      </c>
      <c r="B177" s="3" t="s">
        <v>67</v>
      </c>
      <c r="C177" s="4" t="s">
        <v>12</v>
      </c>
      <c r="D177" s="2">
        <v>5.0</v>
      </c>
      <c r="E177" s="5">
        <v>45678.0</v>
      </c>
      <c r="F177" s="2" t="str">
        <f>VLOOKUP(B177,Customers!A:B,2,FALSE)</f>
        <v>Sara Khan </v>
      </c>
      <c r="G177" s="2" t="str">
        <f>VLOOKUP(C177,Products!A:B,2,FALSE)</f>
        <v>Laptop</v>
      </c>
      <c r="H177" s="2" t="str">
        <f>VLOOKUP(C177,Products!A:C,3,FALSE)</f>
        <v>Electronics</v>
      </c>
      <c r="I177" s="2">
        <f>VLOOKUP(C177,Products!A:D,4,FALSE)</f>
        <v>62520</v>
      </c>
      <c r="J177" s="2">
        <f t="shared" si="1"/>
        <v>312600</v>
      </c>
    </row>
    <row r="178">
      <c r="A178" s="2" t="s">
        <v>253</v>
      </c>
      <c r="B178" s="3" t="s">
        <v>254</v>
      </c>
      <c r="C178" s="4" t="s">
        <v>21</v>
      </c>
      <c r="D178" s="2">
        <v>2.0</v>
      </c>
      <c r="E178" s="5">
        <v>45805.0</v>
      </c>
      <c r="F178" s="2" t="str">
        <f>VLOOKUP(B178,Customers!A:B,2,FALSE)</f>
        <v>David sun</v>
      </c>
      <c r="G178" s="2" t="str">
        <f>VLOOKUP(C178,Products!A:B,2,FALSE)</f>
        <v>Mouse</v>
      </c>
      <c r="H178" s="2" t="str">
        <f>VLOOKUP(C178,Products!A:C,3,FALSE)</f>
        <v>Accessories</v>
      </c>
      <c r="I178" s="2">
        <f>VLOOKUP(C178,Products!A:D,4,FALSE)</f>
        <v>3649</v>
      </c>
      <c r="J178" s="2">
        <f t="shared" si="1"/>
        <v>7298</v>
      </c>
    </row>
    <row r="179">
      <c r="A179" s="2" t="s">
        <v>255</v>
      </c>
      <c r="B179" s="3" t="s">
        <v>95</v>
      </c>
      <c r="C179" s="4" t="s">
        <v>65</v>
      </c>
      <c r="D179" s="2">
        <v>3.0</v>
      </c>
      <c r="E179" s="5">
        <v>45685.0</v>
      </c>
      <c r="F179" s="2" t="str">
        <f>VLOOKUP(B179,Customers!A:B,2,FALSE)</f>
        <v>Arjun Sharma</v>
      </c>
      <c r="G179" s="2" t="str">
        <f>VLOOKUP(C179,Products!A:B,2,FALSE)</f>
        <v>Mouse</v>
      </c>
      <c r="H179" s="2" t="str">
        <f>VLOOKUP(C179,Products!A:C,3,FALSE)</f>
        <v>Accessories</v>
      </c>
      <c r="I179" s="2">
        <f>VLOOKUP(C179,Products!A:D,4,FALSE)</f>
        <v>2899</v>
      </c>
      <c r="J179" s="2">
        <f t="shared" si="1"/>
        <v>8697</v>
      </c>
    </row>
    <row r="180">
      <c r="A180" s="2" t="s">
        <v>256</v>
      </c>
      <c r="B180" s="3" t="s">
        <v>17</v>
      </c>
      <c r="C180" s="4" t="s">
        <v>24</v>
      </c>
      <c r="D180" s="2">
        <v>5.0</v>
      </c>
      <c r="E180" s="5">
        <v>45732.0</v>
      </c>
      <c r="F180" s="2" t="str">
        <f>VLOOKUP(B180,Customers!A:B,2,FALSE)</f>
        <v>Rahul mann</v>
      </c>
      <c r="G180" s="2" t="str">
        <f>VLOOKUP(C180,Products!A:B,2,FALSE)</f>
        <v>Keyboard</v>
      </c>
      <c r="H180" s="2" t="str">
        <f>VLOOKUP(C180,Products!A:C,3,FALSE)</f>
        <v>Accessories</v>
      </c>
      <c r="I180" s="2">
        <f>VLOOKUP(C180,Products!A:D,4,FALSE)</f>
        <v>2426</v>
      </c>
      <c r="J180" s="2">
        <f t="shared" si="1"/>
        <v>12130</v>
      </c>
    </row>
    <row r="181">
      <c r="A181" s="2" t="s">
        <v>257</v>
      </c>
      <c r="B181" s="3" t="s">
        <v>23</v>
      </c>
      <c r="C181" s="4" t="s">
        <v>49</v>
      </c>
      <c r="D181" s="2">
        <v>5.0</v>
      </c>
      <c r="E181" s="5">
        <v>45795.0</v>
      </c>
      <c r="F181" s="2" t="str">
        <f>VLOOKUP(B181,Customers!A:B,2,FALSE)</f>
        <v>Sara Khan </v>
      </c>
      <c r="G181" s="2" t="str">
        <f>VLOOKUP(C181,Products!A:B,2,FALSE)</f>
        <v>Tablet</v>
      </c>
      <c r="H181" s="2" t="str">
        <f>VLOOKUP(C181,Products!A:C,3,FALSE)</f>
        <v>Electronics</v>
      </c>
      <c r="I181" s="2">
        <f>VLOOKUP(C181,Products!A:D,4,FALSE)</f>
        <v>40192</v>
      </c>
      <c r="J181" s="2">
        <f t="shared" si="1"/>
        <v>200960</v>
      </c>
    </row>
    <row r="182">
      <c r="A182" s="2" t="s">
        <v>258</v>
      </c>
      <c r="B182" s="3" t="s">
        <v>37</v>
      </c>
      <c r="C182" s="4" t="s">
        <v>70</v>
      </c>
      <c r="D182" s="2">
        <v>3.0</v>
      </c>
      <c r="E182" s="5">
        <v>45674.0</v>
      </c>
      <c r="F182" s="2" t="str">
        <f>VLOOKUP(B182,Customers!A:B,2,FALSE)</f>
        <v>Arjun Sharma</v>
      </c>
      <c r="G182" s="2" t="str">
        <f>VLOOKUP(C182,Products!A:B,2,FALSE)</f>
        <v>Tablet</v>
      </c>
      <c r="H182" s="2" t="str">
        <f>VLOOKUP(C182,Products!A:C,3,FALSE)</f>
        <v>Electronics</v>
      </c>
      <c r="I182" s="2">
        <f>VLOOKUP(C182,Products!A:D,4,FALSE)</f>
        <v>45245</v>
      </c>
      <c r="J182" s="2">
        <f t="shared" si="1"/>
        <v>135735</v>
      </c>
    </row>
    <row r="183">
      <c r="A183" s="2" t="s">
        <v>259</v>
      </c>
      <c r="B183" s="3" t="s">
        <v>124</v>
      </c>
      <c r="C183" s="4" t="s">
        <v>87</v>
      </c>
      <c r="D183" s="2">
        <v>2.0</v>
      </c>
      <c r="E183" s="5">
        <v>45784.0</v>
      </c>
      <c r="F183" s="2" t="str">
        <f>VLOOKUP(B183,Customers!A:B,2,FALSE)</f>
        <v>Vikram Roy</v>
      </c>
      <c r="G183" s="2" t="str">
        <f>VLOOKUP(C183,Products!A:B,2,FALSE)</f>
        <v>Tablet</v>
      </c>
      <c r="H183" s="2" t="str">
        <f>VLOOKUP(C183,Products!A:C,3,FALSE)</f>
        <v>Electronics</v>
      </c>
      <c r="I183" s="2">
        <f>VLOOKUP(C183,Products!A:D,4,FALSE)</f>
        <v>65755</v>
      </c>
      <c r="J183" s="2">
        <f t="shared" si="1"/>
        <v>131510</v>
      </c>
    </row>
    <row r="184">
      <c r="A184" s="2" t="s">
        <v>260</v>
      </c>
      <c r="B184" s="3" t="s">
        <v>176</v>
      </c>
      <c r="C184" s="4" t="s">
        <v>104</v>
      </c>
      <c r="D184" s="2">
        <v>3.0</v>
      </c>
      <c r="E184" s="5">
        <v>45674.0</v>
      </c>
      <c r="F184" s="2" t="str">
        <f>VLOOKUP(B184,Customers!A:B,2,FALSE)</f>
        <v>Priya Verma</v>
      </c>
      <c r="G184" s="2" t="str">
        <f>VLOOKUP(C184,Products!A:B,2,FALSE)</f>
        <v>Tablet</v>
      </c>
      <c r="H184" s="2" t="str">
        <f>VLOOKUP(C184,Products!A:C,3,FALSE)</f>
        <v>Electronics</v>
      </c>
      <c r="I184" s="2">
        <f>VLOOKUP(C184,Products!A:D,4,FALSE)</f>
        <v>61889</v>
      </c>
      <c r="J184" s="2">
        <f t="shared" si="1"/>
        <v>185667</v>
      </c>
    </row>
    <row r="185">
      <c r="A185" s="2" t="s">
        <v>261</v>
      </c>
      <c r="B185" s="3" t="s">
        <v>102</v>
      </c>
      <c r="C185" s="4" t="s">
        <v>80</v>
      </c>
      <c r="D185" s="2">
        <v>3.0</v>
      </c>
      <c r="E185" s="5">
        <v>45767.0</v>
      </c>
      <c r="F185" s="2" t="str">
        <f>VLOOKUP(B185,Customers!A:B,2,FALSE)</f>
        <v>Sara Khan </v>
      </c>
      <c r="G185" s="2" t="str">
        <f>VLOOKUP(C185,Products!A:B,2,FALSE)</f>
        <v>Phone</v>
      </c>
      <c r="H185" s="2" t="str">
        <f>VLOOKUP(C185,Products!A:C,3,FALSE)</f>
        <v>Electronics</v>
      </c>
      <c r="I185" s="2">
        <f>VLOOKUP(C185,Products!A:D,4,FALSE)</f>
        <v>21434</v>
      </c>
      <c r="J185" s="2">
        <f t="shared" si="1"/>
        <v>64302</v>
      </c>
    </row>
    <row r="186">
      <c r="A186" s="2" t="s">
        <v>262</v>
      </c>
      <c r="B186" s="3" t="s">
        <v>176</v>
      </c>
      <c r="C186" s="4" t="s">
        <v>57</v>
      </c>
      <c r="D186" s="2">
        <v>5.0</v>
      </c>
      <c r="E186" s="5">
        <v>45696.0</v>
      </c>
      <c r="F186" s="2" t="str">
        <f>VLOOKUP(B186,Customers!A:B,2,FALSE)</f>
        <v>Priya Verma</v>
      </c>
      <c r="G186" s="2" t="str">
        <f>VLOOKUP(C186,Products!A:B,2,FALSE)</f>
        <v>Smartwatch</v>
      </c>
      <c r="H186" s="2" t="str">
        <f>VLOOKUP(C186,Products!A:C,3,FALSE)</f>
        <v>Electronics</v>
      </c>
      <c r="I186" s="2">
        <f>VLOOKUP(C186,Products!A:D,4,FALSE)</f>
        <v>20151</v>
      </c>
      <c r="J186" s="2">
        <f t="shared" si="1"/>
        <v>100755</v>
      </c>
    </row>
    <row r="187">
      <c r="A187" s="2" t="s">
        <v>263</v>
      </c>
      <c r="B187" s="3" t="s">
        <v>39</v>
      </c>
      <c r="C187" s="4" t="s">
        <v>24</v>
      </c>
      <c r="D187" s="2">
        <v>5.0</v>
      </c>
      <c r="E187" s="5">
        <v>45767.0</v>
      </c>
      <c r="F187" s="2" t="str">
        <f>VLOOKUP(B187,Customers!A:B,2,FALSE)</f>
        <v>Priya Verma</v>
      </c>
      <c r="G187" s="2" t="str">
        <f>VLOOKUP(C187,Products!A:B,2,FALSE)</f>
        <v>Keyboard</v>
      </c>
      <c r="H187" s="2" t="str">
        <f>VLOOKUP(C187,Products!A:C,3,FALSE)</f>
        <v>Accessories</v>
      </c>
      <c r="I187" s="2">
        <f>VLOOKUP(C187,Products!A:D,4,FALSE)</f>
        <v>2426</v>
      </c>
      <c r="J187" s="2">
        <f t="shared" si="1"/>
        <v>12130</v>
      </c>
    </row>
    <row r="188">
      <c r="A188" s="2" t="s">
        <v>264</v>
      </c>
      <c r="B188" s="3" t="s">
        <v>166</v>
      </c>
      <c r="C188" s="4" t="s">
        <v>40</v>
      </c>
      <c r="D188" s="2">
        <v>1.0</v>
      </c>
      <c r="E188" s="5">
        <v>45690.0</v>
      </c>
      <c r="F188" s="2" t="str">
        <f>VLOOKUP(B188,Customers!A:B,2,FALSE)</f>
        <v>Rahul mann</v>
      </c>
      <c r="G188" s="2" t="str">
        <f>VLOOKUP(C188,Products!A:B,2,FALSE)</f>
        <v>Phone</v>
      </c>
      <c r="H188" s="2" t="str">
        <f>VLOOKUP(C188,Products!A:C,3,FALSE)</f>
        <v>Electronics</v>
      </c>
      <c r="I188" s="2">
        <f>VLOOKUP(C188,Products!A:D,4,FALSE)</f>
        <v>50972</v>
      </c>
      <c r="J188" s="2">
        <f t="shared" si="1"/>
        <v>50972</v>
      </c>
    </row>
    <row r="189">
      <c r="A189" s="2" t="s">
        <v>265</v>
      </c>
      <c r="B189" s="3" t="s">
        <v>28</v>
      </c>
      <c r="C189" s="4" t="s">
        <v>12</v>
      </c>
      <c r="D189" s="2">
        <v>1.0</v>
      </c>
      <c r="E189" s="5">
        <v>45686.0</v>
      </c>
      <c r="F189" s="2" t="str">
        <f>VLOOKUP(B189,Customers!A:B,2,FALSE)</f>
        <v>David sun</v>
      </c>
      <c r="G189" s="2" t="str">
        <f>VLOOKUP(C189,Products!A:B,2,FALSE)</f>
        <v>Laptop</v>
      </c>
      <c r="H189" s="2" t="str">
        <f>VLOOKUP(C189,Products!A:C,3,FALSE)</f>
        <v>Electronics</v>
      </c>
      <c r="I189" s="2">
        <f>VLOOKUP(C189,Products!A:D,4,FALSE)</f>
        <v>62520</v>
      </c>
      <c r="J189" s="2">
        <f t="shared" si="1"/>
        <v>62520</v>
      </c>
    </row>
    <row r="190">
      <c r="A190" s="2" t="s">
        <v>266</v>
      </c>
      <c r="B190" s="3" t="s">
        <v>26</v>
      </c>
      <c r="C190" s="4" t="s">
        <v>18</v>
      </c>
      <c r="D190" s="2">
        <v>4.0</v>
      </c>
      <c r="E190" s="5">
        <v>45675.0</v>
      </c>
      <c r="F190" s="2" t="str">
        <f>VLOOKUP(B190,Customers!A:B,2,FALSE)</f>
        <v>Neha Kumari</v>
      </c>
      <c r="G190" s="2" t="str">
        <f>VLOOKUP(C190,Products!A:B,2,FALSE)</f>
        <v>Headphones</v>
      </c>
      <c r="H190" s="2" t="str">
        <f>VLOOKUP(C190,Products!A:C,3,FALSE)</f>
        <v>Accessories</v>
      </c>
      <c r="I190" s="2">
        <f>VLOOKUP(C190,Products!A:D,4,FALSE)</f>
        <v>2760</v>
      </c>
      <c r="J190" s="2">
        <f t="shared" si="1"/>
        <v>11040</v>
      </c>
    </row>
    <row r="191">
      <c r="A191" s="2" t="s">
        <v>267</v>
      </c>
      <c r="B191" s="3" t="s">
        <v>148</v>
      </c>
      <c r="C191" s="4" t="s">
        <v>65</v>
      </c>
      <c r="D191" s="2">
        <v>2.0</v>
      </c>
      <c r="E191" s="5">
        <v>45719.0</v>
      </c>
      <c r="F191" s="2" t="str">
        <f>VLOOKUP(B191,Customers!A:B,2,FALSE)</f>
        <v>David sun</v>
      </c>
      <c r="G191" s="2" t="str">
        <f>VLOOKUP(C191,Products!A:B,2,FALSE)</f>
        <v>Mouse</v>
      </c>
      <c r="H191" s="2" t="str">
        <f>VLOOKUP(C191,Products!A:C,3,FALSE)</f>
        <v>Accessories</v>
      </c>
      <c r="I191" s="2">
        <f>VLOOKUP(C191,Products!A:D,4,FALSE)</f>
        <v>2899</v>
      </c>
      <c r="J191" s="2">
        <f t="shared" si="1"/>
        <v>5798</v>
      </c>
    </row>
    <row r="192">
      <c r="A192" s="2" t="s">
        <v>268</v>
      </c>
      <c r="B192" s="3" t="s">
        <v>28</v>
      </c>
      <c r="C192" s="4" t="s">
        <v>87</v>
      </c>
      <c r="D192" s="2">
        <v>5.0</v>
      </c>
      <c r="E192" s="5">
        <v>45698.0</v>
      </c>
      <c r="F192" s="2" t="str">
        <f>VLOOKUP(B192,Customers!A:B,2,FALSE)</f>
        <v>David sun</v>
      </c>
      <c r="G192" s="2" t="str">
        <f>VLOOKUP(C192,Products!A:B,2,FALSE)</f>
        <v>Tablet</v>
      </c>
      <c r="H192" s="2" t="str">
        <f>VLOOKUP(C192,Products!A:C,3,FALSE)</f>
        <v>Electronics</v>
      </c>
      <c r="I192" s="2">
        <f>VLOOKUP(C192,Products!A:D,4,FALSE)</f>
        <v>65755</v>
      </c>
      <c r="J192" s="2">
        <f t="shared" si="1"/>
        <v>328775</v>
      </c>
    </row>
    <row r="193">
      <c r="A193" s="2" t="s">
        <v>269</v>
      </c>
      <c r="B193" s="3" t="s">
        <v>181</v>
      </c>
      <c r="C193" s="4" t="s">
        <v>15</v>
      </c>
      <c r="D193" s="2">
        <v>3.0</v>
      </c>
      <c r="E193" s="5">
        <v>45678.0</v>
      </c>
      <c r="F193" s="2" t="str">
        <f>VLOOKUP(B193,Customers!A:B,2,FALSE)</f>
        <v>Neha Kumari</v>
      </c>
      <c r="G193" s="2" t="str">
        <f>VLOOKUP(C193,Products!A:B,2,FALSE)</f>
        <v>Phone</v>
      </c>
      <c r="H193" s="2" t="str">
        <f>VLOOKUP(C193,Products!A:C,3,FALSE)</f>
        <v>Electronics</v>
      </c>
      <c r="I193" s="2">
        <f>VLOOKUP(C193,Products!A:D,4,FALSE)</f>
        <v>59549</v>
      </c>
      <c r="J193" s="2">
        <f t="shared" si="1"/>
        <v>178647</v>
      </c>
    </row>
    <row r="194">
      <c r="A194" s="2" t="s">
        <v>270</v>
      </c>
      <c r="B194" s="3" t="s">
        <v>46</v>
      </c>
      <c r="C194" s="4" t="s">
        <v>75</v>
      </c>
      <c r="D194" s="2">
        <v>4.0</v>
      </c>
      <c r="E194" s="5">
        <v>45811.0</v>
      </c>
      <c r="F194" s="2" t="str">
        <f>VLOOKUP(B194,Customers!A:B,2,FALSE)</f>
        <v>Sara Khan </v>
      </c>
      <c r="G194" s="2" t="str">
        <f>VLOOKUP(C194,Products!A:B,2,FALSE)</f>
        <v>Smartwatch</v>
      </c>
      <c r="H194" s="2" t="str">
        <f>VLOOKUP(C194,Products!A:C,3,FALSE)</f>
        <v>Electronics</v>
      </c>
      <c r="I194" s="2">
        <f>VLOOKUP(C194,Products!A:D,4,FALSE)</f>
        <v>61749</v>
      </c>
      <c r="J194" s="2">
        <f t="shared" si="1"/>
        <v>246996</v>
      </c>
    </row>
    <row r="195">
      <c r="A195" s="2" t="s">
        <v>271</v>
      </c>
      <c r="B195" s="3" t="s">
        <v>272</v>
      </c>
      <c r="C195" s="4" t="s">
        <v>104</v>
      </c>
      <c r="D195" s="2">
        <v>3.0</v>
      </c>
      <c r="E195" s="5">
        <v>45747.0</v>
      </c>
      <c r="F195" s="2" t="str">
        <f>VLOOKUP(B195,Customers!A:B,2,FALSE)</f>
        <v>John Smith</v>
      </c>
      <c r="G195" s="2" t="str">
        <f>VLOOKUP(C195,Products!A:B,2,FALSE)</f>
        <v>Tablet</v>
      </c>
      <c r="H195" s="2" t="str">
        <f>VLOOKUP(C195,Products!A:C,3,FALSE)</f>
        <v>Electronics</v>
      </c>
      <c r="I195" s="2">
        <f>VLOOKUP(C195,Products!A:D,4,FALSE)</f>
        <v>61889</v>
      </c>
      <c r="J195" s="2">
        <f t="shared" si="1"/>
        <v>185667</v>
      </c>
    </row>
    <row r="196">
      <c r="A196" s="2" t="s">
        <v>273</v>
      </c>
      <c r="B196" s="3" t="s">
        <v>254</v>
      </c>
      <c r="C196" s="4" t="s">
        <v>15</v>
      </c>
      <c r="D196" s="2">
        <v>3.0</v>
      </c>
      <c r="E196" s="5">
        <v>45799.0</v>
      </c>
      <c r="F196" s="2" t="str">
        <f>VLOOKUP(B196,Customers!A:B,2,FALSE)</f>
        <v>David sun</v>
      </c>
      <c r="G196" s="2" t="str">
        <f>VLOOKUP(C196,Products!A:B,2,FALSE)</f>
        <v>Phone</v>
      </c>
      <c r="H196" s="2" t="str">
        <f>VLOOKUP(C196,Products!A:C,3,FALSE)</f>
        <v>Electronics</v>
      </c>
      <c r="I196" s="2">
        <f>VLOOKUP(C196,Products!A:D,4,FALSE)</f>
        <v>59549</v>
      </c>
      <c r="J196" s="2">
        <f t="shared" si="1"/>
        <v>178647</v>
      </c>
    </row>
    <row r="197">
      <c r="A197" s="2" t="s">
        <v>274</v>
      </c>
      <c r="B197" s="3" t="s">
        <v>181</v>
      </c>
      <c r="C197" s="4" t="s">
        <v>75</v>
      </c>
      <c r="D197" s="2">
        <v>4.0</v>
      </c>
      <c r="E197" s="5">
        <v>45818.0</v>
      </c>
      <c r="F197" s="2" t="str">
        <f>VLOOKUP(B197,Customers!A:B,2,FALSE)</f>
        <v>Neha Kumari</v>
      </c>
      <c r="G197" s="2" t="str">
        <f>VLOOKUP(C197,Products!A:B,2,FALSE)</f>
        <v>Smartwatch</v>
      </c>
      <c r="H197" s="2" t="str">
        <f>VLOOKUP(C197,Products!A:C,3,FALSE)</f>
        <v>Electronics</v>
      </c>
      <c r="I197" s="2">
        <f>VLOOKUP(C197,Products!A:D,4,FALSE)</f>
        <v>61749</v>
      </c>
      <c r="J197" s="2">
        <f t="shared" si="1"/>
        <v>246996</v>
      </c>
    </row>
    <row r="198">
      <c r="A198" s="2" t="s">
        <v>275</v>
      </c>
      <c r="B198" s="3" t="s">
        <v>26</v>
      </c>
      <c r="C198" s="4" t="s">
        <v>75</v>
      </c>
      <c r="D198" s="2">
        <v>3.0</v>
      </c>
      <c r="E198" s="5">
        <v>45743.0</v>
      </c>
      <c r="F198" s="2" t="str">
        <f>VLOOKUP(B198,Customers!A:B,2,FALSE)</f>
        <v>Neha Kumari</v>
      </c>
      <c r="G198" s="2" t="str">
        <f>VLOOKUP(C198,Products!A:B,2,FALSE)</f>
        <v>Smartwatch</v>
      </c>
      <c r="H198" s="2" t="str">
        <f>VLOOKUP(C198,Products!A:C,3,FALSE)</f>
        <v>Electronics</v>
      </c>
      <c r="I198" s="2">
        <f>VLOOKUP(C198,Products!A:D,4,FALSE)</f>
        <v>61749</v>
      </c>
      <c r="J198" s="2">
        <f t="shared" si="1"/>
        <v>185247</v>
      </c>
    </row>
    <row r="199">
      <c r="A199" s="2" t="s">
        <v>276</v>
      </c>
      <c r="B199" s="3" t="s">
        <v>118</v>
      </c>
      <c r="C199" s="4" t="s">
        <v>75</v>
      </c>
      <c r="D199" s="2">
        <v>5.0</v>
      </c>
      <c r="E199" s="5">
        <v>45672.0</v>
      </c>
      <c r="F199" s="2" t="str">
        <f>VLOOKUP(B199,Customers!A:B,2,FALSE)</f>
        <v>Sara Khan </v>
      </c>
      <c r="G199" s="2" t="str">
        <f>VLOOKUP(C199,Products!A:B,2,FALSE)</f>
        <v>Smartwatch</v>
      </c>
      <c r="H199" s="2" t="str">
        <f>VLOOKUP(C199,Products!A:C,3,FALSE)</f>
        <v>Electronics</v>
      </c>
      <c r="I199" s="2">
        <f>VLOOKUP(C199,Products!A:D,4,FALSE)</f>
        <v>61749</v>
      </c>
      <c r="J199" s="2">
        <f t="shared" si="1"/>
        <v>308745</v>
      </c>
    </row>
    <row r="200">
      <c r="A200" s="2" t="s">
        <v>277</v>
      </c>
      <c r="B200" s="3" t="s">
        <v>176</v>
      </c>
      <c r="C200" s="4" t="s">
        <v>75</v>
      </c>
      <c r="D200" s="2">
        <v>2.0</v>
      </c>
      <c r="E200" s="5">
        <v>45676.0</v>
      </c>
      <c r="F200" s="2" t="str">
        <f>VLOOKUP(B200,Customers!A:B,2,FALSE)</f>
        <v>Priya Verma</v>
      </c>
      <c r="G200" s="2" t="str">
        <f>VLOOKUP(C200,Products!A:B,2,FALSE)</f>
        <v>Smartwatch</v>
      </c>
      <c r="H200" s="2" t="str">
        <f>VLOOKUP(C200,Products!A:C,3,FALSE)</f>
        <v>Electronics</v>
      </c>
      <c r="I200" s="2">
        <f>VLOOKUP(C200,Products!A:D,4,FALSE)</f>
        <v>61749</v>
      </c>
      <c r="J200" s="2">
        <f t="shared" si="1"/>
        <v>123498</v>
      </c>
    </row>
    <row r="201">
      <c r="A201" s="2" t="s">
        <v>278</v>
      </c>
      <c r="B201" s="3" t="s">
        <v>23</v>
      </c>
      <c r="C201" s="4" t="s">
        <v>29</v>
      </c>
      <c r="D201" s="2">
        <v>5.0</v>
      </c>
      <c r="E201" s="5">
        <v>45718.0</v>
      </c>
      <c r="F201" s="2" t="str">
        <f>VLOOKUP(B201,Customers!A:B,2,FALSE)</f>
        <v>Sara Khan </v>
      </c>
      <c r="G201" s="2" t="str">
        <f>VLOOKUP(C201,Products!A:B,2,FALSE)</f>
        <v>Charger</v>
      </c>
      <c r="H201" s="2" t="str">
        <f>VLOOKUP(C201,Products!A:C,3,FALSE)</f>
        <v>Accessories</v>
      </c>
      <c r="I201" s="2">
        <f>VLOOKUP(C201,Products!A:D,4,FALSE)</f>
        <v>586</v>
      </c>
      <c r="J201" s="2">
        <f t="shared" si="1"/>
        <v>2930</v>
      </c>
    </row>
    <row r="202">
      <c r="A202" s="2" t="s">
        <v>279</v>
      </c>
      <c r="B202" s="3" t="s">
        <v>60</v>
      </c>
      <c r="C202" s="4" t="s">
        <v>31</v>
      </c>
      <c r="D202" s="2">
        <v>1.0</v>
      </c>
      <c r="E202" s="5">
        <v>45776.0</v>
      </c>
      <c r="F202" s="2" t="str">
        <f>VLOOKUP(B202,Customers!A:B,2,FALSE)</f>
        <v>Priya Verma</v>
      </c>
      <c r="G202" s="2" t="str">
        <f>VLOOKUP(C202,Products!A:B,2,FALSE)</f>
        <v>Monitor</v>
      </c>
      <c r="H202" s="2" t="str">
        <f>VLOOKUP(C202,Products!A:C,3,FALSE)</f>
        <v>Electronics</v>
      </c>
      <c r="I202" s="2">
        <f>VLOOKUP(C202,Products!A:D,4,FALSE)</f>
        <v>63079</v>
      </c>
      <c r="J202" s="2">
        <f t="shared" si="1"/>
        <v>63079</v>
      </c>
    </row>
    <row r="203">
      <c r="A203" s="2" t="s">
        <v>280</v>
      </c>
      <c r="B203" s="3" t="s">
        <v>213</v>
      </c>
      <c r="C203" s="4" t="s">
        <v>65</v>
      </c>
      <c r="D203" s="2">
        <v>2.0</v>
      </c>
      <c r="E203" s="5">
        <v>45805.0</v>
      </c>
      <c r="F203" s="2" t="str">
        <f>VLOOKUP(B203,Customers!A:B,2,FALSE)</f>
        <v>David sun</v>
      </c>
      <c r="G203" s="2" t="str">
        <f>VLOOKUP(C203,Products!A:B,2,FALSE)</f>
        <v>Mouse</v>
      </c>
      <c r="H203" s="2" t="str">
        <f>VLOOKUP(C203,Products!A:C,3,FALSE)</f>
        <v>Accessories</v>
      </c>
      <c r="I203" s="2">
        <f>VLOOKUP(C203,Products!A:D,4,FALSE)</f>
        <v>2899</v>
      </c>
      <c r="J203" s="2">
        <f t="shared" si="1"/>
        <v>5798</v>
      </c>
    </row>
    <row r="204">
      <c r="A204" s="2" t="s">
        <v>281</v>
      </c>
      <c r="B204" s="3" t="s">
        <v>137</v>
      </c>
      <c r="C204" s="4" t="s">
        <v>35</v>
      </c>
      <c r="D204" s="2">
        <v>5.0</v>
      </c>
      <c r="E204" s="5">
        <v>45679.0</v>
      </c>
      <c r="F204" s="2" t="str">
        <f>VLOOKUP(B204,Customers!A:B,2,FALSE)</f>
        <v>Vikram Roy</v>
      </c>
      <c r="G204" s="2" t="str">
        <f>VLOOKUP(C204,Products!A:B,2,FALSE)</f>
        <v>Smartwatch</v>
      </c>
      <c r="H204" s="2" t="str">
        <f>VLOOKUP(C204,Products!A:C,3,FALSE)</f>
        <v>Electronics</v>
      </c>
      <c r="I204" s="2">
        <f>VLOOKUP(C204,Products!A:D,4,FALSE)</f>
        <v>49383</v>
      </c>
      <c r="J204" s="2">
        <f t="shared" si="1"/>
        <v>246915</v>
      </c>
    </row>
    <row r="205">
      <c r="A205" s="2" t="s">
        <v>282</v>
      </c>
      <c r="B205" s="3" t="s">
        <v>254</v>
      </c>
      <c r="C205" s="4" t="s">
        <v>12</v>
      </c>
      <c r="D205" s="2">
        <v>5.0</v>
      </c>
      <c r="E205" s="5">
        <v>45743.0</v>
      </c>
      <c r="F205" s="2" t="str">
        <f>VLOOKUP(B205,Customers!A:B,2,FALSE)</f>
        <v>David sun</v>
      </c>
      <c r="G205" s="2" t="str">
        <f>VLOOKUP(C205,Products!A:B,2,FALSE)</f>
        <v>Laptop</v>
      </c>
      <c r="H205" s="2" t="str">
        <f>VLOOKUP(C205,Products!A:C,3,FALSE)</f>
        <v>Electronics</v>
      </c>
      <c r="I205" s="2">
        <f>VLOOKUP(C205,Products!A:D,4,FALSE)</f>
        <v>62520</v>
      </c>
      <c r="J205" s="2">
        <f t="shared" si="1"/>
        <v>312600</v>
      </c>
    </row>
    <row r="206">
      <c r="A206" s="2" t="s">
        <v>283</v>
      </c>
      <c r="B206" s="3" t="s">
        <v>106</v>
      </c>
      <c r="C206" s="4" t="s">
        <v>29</v>
      </c>
      <c r="D206" s="2">
        <v>5.0</v>
      </c>
      <c r="E206" s="5">
        <v>45771.0</v>
      </c>
      <c r="F206" s="2" t="str">
        <f>VLOOKUP(B206,Customers!A:B,2,FALSE)</f>
        <v>David sun</v>
      </c>
      <c r="G206" s="2" t="str">
        <f>VLOOKUP(C206,Products!A:B,2,FALSE)</f>
        <v>Charger</v>
      </c>
      <c r="H206" s="2" t="str">
        <f>VLOOKUP(C206,Products!A:C,3,FALSE)</f>
        <v>Accessories</v>
      </c>
      <c r="I206" s="2">
        <f>VLOOKUP(C206,Products!A:D,4,FALSE)</f>
        <v>586</v>
      </c>
      <c r="J206" s="2">
        <f t="shared" si="1"/>
        <v>2930</v>
      </c>
    </row>
    <row r="207">
      <c r="A207" s="2" t="s">
        <v>284</v>
      </c>
      <c r="B207" s="3" t="s">
        <v>100</v>
      </c>
      <c r="C207" s="4" t="s">
        <v>151</v>
      </c>
      <c r="D207" s="2">
        <v>2.0</v>
      </c>
      <c r="E207" s="5">
        <v>45763.0</v>
      </c>
      <c r="F207" s="2" t="str">
        <f>VLOOKUP(B207,Customers!A:B,2,FALSE)</f>
        <v>John Smith</v>
      </c>
      <c r="G207" s="2" t="str">
        <f>VLOOKUP(C207,Products!A:B,2,FALSE)</f>
        <v>Speaker</v>
      </c>
      <c r="H207" s="2" t="str">
        <f>VLOOKUP(C207,Products!A:C,3,FALSE)</f>
        <v>Accessories</v>
      </c>
      <c r="I207" s="2">
        <f>VLOOKUP(C207,Products!A:D,4,FALSE)</f>
        <v>3985</v>
      </c>
      <c r="J207" s="2">
        <f t="shared" si="1"/>
        <v>7970</v>
      </c>
    </row>
    <row r="208">
      <c r="A208" s="2" t="s">
        <v>285</v>
      </c>
      <c r="B208" s="3" t="s">
        <v>48</v>
      </c>
      <c r="C208" s="4" t="s">
        <v>80</v>
      </c>
      <c r="D208" s="2">
        <v>5.0</v>
      </c>
      <c r="E208" s="5">
        <v>45670.0</v>
      </c>
      <c r="F208" s="2" t="str">
        <f>VLOOKUP(B208,Customers!A:B,2,FALSE)</f>
        <v>Neha Kumari</v>
      </c>
      <c r="G208" s="2" t="str">
        <f>VLOOKUP(C208,Products!A:B,2,FALSE)</f>
        <v>Phone</v>
      </c>
      <c r="H208" s="2" t="str">
        <f>VLOOKUP(C208,Products!A:C,3,FALSE)</f>
        <v>Electronics</v>
      </c>
      <c r="I208" s="2">
        <f>VLOOKUP(C208,Products!A:D,4,FALSE)</f>
        <v>21434</v>
      </c>
      <c r="J208" s="2">
        <f t="shared" si="1"/>
        <v>107170</v>
      </c>
    </row>
    <row r="209">
      <c r="A209" s="2" t="s">
        <v>286</v>
      </c>
      <c r="B209" s="3" t="s">
        <v>110</v>
      </c>
      <c r="C209" s="4" t="s">
        <v>12</v>
      </c>
      <c r="D209" s="2">
        <v>4.0</v>
      </c>
      <c r="E209" s="5">
        <v>45734.0</v>
      </c>
      <c r="F209" s="2" t="str">
        <f>VLOOKUP(B209,Customers!A:B,2,FALSE)</f>
        <v>Vikram Roy</v>
      </c>
      <c r="G209" s="2" t="str">
        <f>VLOOKUP(C209,Products!A:B,2,FALSE)</f>
        <v>Laptop</v>
      </c>
      <c r="H209" s="2" t="str">
        <f>VLOOKUP(C209,Products!A:C,3,FALSE)</f>
        <v>Electronics</v>
      </c>
      <c r="I209" s="2">
        <f>VLOOKUP(C209,Products!A:D,4,FALSE)</f>
        <v>62520</v>
      </c>
      <c r="J209" s="2">
        <f t="shared" si="1"/>
        <v>250080</v>
      </c>
    </row>
    <row r="210">
      <c r="A210" s="2" t="s">
        <v>287</v>
      </c>
      <c r="B210" s="3" t="s">
        <v>114</v>
      </c>
      <c r="C210" s="4" t="s">
        <v>55</v>
      </c>
      <c r="D210" s="2">
        <v>5.0</v>
      </c>
      <c r="E210" s="5">
        <v>45836.0</v>
      </c>
      <c r="F210" s="2" t="str">
        <f>VLOOKUP(B210,Customers!A:B,2,FALSE)</f>
        <v>Priya Verma</v>
      </c>
      <c r="G210" s="2" t="str">
        <f>VLOOKUP(C210,Products!A:B,2,FALSE)</f>
        <v>Speaker</v>
      </c>
      <c r="H210" s="2" t="str">
        <f>VLOOKUP(C210,Products!A:C,3,FALSE)</f>
        <v>Accessories</v>
      </c>
      <c r="I210" s="2">
        <f>VLOOKUP(C210,Products!A:D,4,FALSE)</f>
        <v>3408</v>
      </c>
      <c r="J210" s="2">
        <f t="shared" si="1"/>
        <v>17040</v>
      </c>
    </row>
    <row r="211">
      <c r="A211" s="2" t="s">
        <v>288</v>
      </c>
      <c r="B211" s="3" t="s">
        <v>26</v>
      </c>
      <c r="C211" s="4" t="s">
        <v>12</v>
      </c>
      <c r="D211" s="2">
        <v>1.0</v>
      </c>
      <c r="E211" s="5">
        <v>45728.0</v>
      </c>
      <c r="F211" s="2" t="str">
        <f>VLOOKUP(B211,Customers!A:B,2,FALSE)</f>
        <v>Neha Kumari</v>
      </c>
      <c r="G211" s="2" t="str">
        <f>VLOOKUP(C211,Products!A:B,2,FALSE)</f>
        <v>Laptop</v>
      </c>
      <c r="H211" s="2" t="str">
        <f>VLOOKUP(C211,Products!A:C,3,FALSE)</f>
        <v>Electronics</v>
      </c>
      <c r="I211" s="2">
        <f>VLOOKUP(C211,Products!A:D,4,FALSE)</f>
        <v>62520</v>
      </c>
      <c r="J211" s="2">
        <f t="shared" si="1"/>
        <v>62520</v>
      </c>
    </row>
    <row r="212">
      <c r="A212" s="2" t="s">
        <v>289</v>
      </c>
      <c r="B212" s="3" t="s">
        <v>143</v>
      </c>
      <c r="C212" s="4" t="s">
        <v>40</v>
      </c>
      <c r="D212" s="2">
        <v>1.0</v>
      </c>
      <c r="E212" s="5">
        <v>45671.0</v>
      </c>
      <c r="F212" s="2" t="str">
        <f>VLOOKUP(B212,Customers!A:B,2,FALSE)</f>
        <v>Rahul mann</v>
      </c>
      <c r="G212" s="2" t="str">
        <f>VLOOKUP(C212,Products!A:B,2,FALSE)</f>
        <v>Phone</v>
      </c>
      <c r="H212" s="2" t="str">
        <f>VLOOKUP(C212,Products!A:C,3,FALSE)</f>
        <v>Electronics</v>
      </c>
      <c r="I212" s="2">
        <f>VLOOKUP(C212,Products!A:D,4,FALSE)</f>
        <v>50972</v>
      </c>
      <c r="J212" s="2">
        <f t="shared" si="1"/>
        <v>50972</v>
      </c>
    </row>
    <row r="213">
      <c r="A213" s="2" t="s">
        <v>290</v>
      </c>
      <c r="B213" s="3" t="s">
        <v>137</v>
      </c>
      <c r="C213" s="4" t="s">
        <v>55</v>
      </c>
      <c r="D213" s="2">
        <v>1.0</v>
      </c>
      <c r="E213" s="5">
        <v>45692.0</v>
      </c>
      <c r="F213" s="2" t="str">
        <f>VLOOKUP(B213,Customers!A:B,2,FALSE)</f>
        <v>Vikram Roy</v>
      </c>
      <c r="G213" s="2" t="str">
        <f>VLOOKUP(C213,Products!A:B,2,FALSE)</f>
        <v>Speaker</v>
      </c>
      <c r="H213" s="2" t="str">
        <f>VLOOKUP(C213,Products!A:C,3,FALSE)</f>
        <v>Accessories</v>
      </c>
      <c r="I213" s="2">
        <f>VLOOKUP(C213,Products!A:D,4,FALSE)</f>
        <v>3408</v>
      </c>
      <c r="J213" s="2">
        <f t="shared" si="1"/>
        <v>3408</v>
      </c>
    </row>
    <row r="214">
      <c r="A214" s="2" t="s">
        <v>291</v>
      </c>
      <c r="B214" s="3" t="s">
        <v>53</v>
      </c>
      <c r="C214" s="4" t="s">
        <v>49</v>
      </c>
      <c r="D214" s="2">
        <v>2.0</v>
      </c>
      <c r="E214" s="5">
        <v>45802.0</v>
      </c>
      <c r="F214" s="2" t="str">
        <f>VLOOKUP(B214,Customers!A:B,2,FALSE)</f>
        <v>Aisha Malhotra</v>
      </c>
      <c r="G214" s="2" t="str">
        <f>VLOOKUP(C214,Products!A:B,2,FALSE)</f>
        <v>Tablet</v>
      </c>
      <c r="H214" s="2" t="str">
        <f>VLOOKUP(C214,Products!A:C,3,FALSE)</f>
        <v>Electronics</v>
      </c>
      <c r="I214" s="2">
        <f>VLOOKUP(C214,Products!A:D,4,FALSE)</f>
        <v>40192</v>
      </c>
      <c r="J214" s="2">
        <f t="shared" si="1"/>
        <v>80384</v>
      </c>
    </row>
    <row r="215">
      <c r="A215" s="2" t="s">
        <v>292</v>
      </c>
      <c r="B215" s="3" t="s">
        <v>67</v>
      </c>
      <c r="C215" s="4" t="s">
        <v>104</v>
      </c>
      <c r="D215" s="2">
        <v>1.0</v>
      </c>
      <c r="E215" s="5">
        <v>45730.0</v>
      </c>
      <c r="F215" s="2" t="str">
        <f>VLOOKUP(B215,Customers!A:B,2,FALSE)</f>
        <v>Sara Khan </v>
      </c>
      <c r="G215" s="2" t="str">
        <f>VLOOKUP(C215,Products!A:B,2,FALSE)</f>
        <v>Tablet</v>
      </c>
      <c r="H215" s="2" t="str">
        <f>VLOOKUP(C215,Products!A:C,3,FALSE)</f>
        <v>Electronics</v>
      </c>
      <c r="I215" s="2">
        <f>VLOOKUP(C215,Products!A:D,4,FALSE)</f>
        <v>61889</v>
      </c>
      <c r="J215" s="2">
        <f t="shared" si="1"/>
        <v>61889</v>
      </c>
    </row>
    <row r="216">
      <c r="A216" s="2" t="s">
        <v>293</v>
      </c>
      <c r="B216" s="3" t="s">
        <v>26</v>
      </c>
      <c r="C216" s="4" t="s">
        <v>18</v>
      </c>
      <c r="D216" s="2">
        <v>1.0</v>
      </c>
      <c r="E216" s="5">
        <v>45665.0</v>
      </c>
      <c r="F216" s="2" t="str">
        <f>VLOOKUP(B216,Customers!A:B,2,FALSE)</f>
        <v>Neha Kumari</v>
      </c>
      <c r="G216" s="2" t="str">
        <f>VLOOKUP(C216,Products!A:B,2,FALSE)</f>
        <v>Headphones</v>
      </c>
      <c r="H216" s="2" t="str">
        <f>VLOOKUP(C216,Products!A:C,3,FALSE)</f>
        <v>Accessories</v>
      </c>
      <c r="I216" s="2">
        <f>VLOOKUP(C216,Products!A:D,4,FALSE)</f>
        <v>2760</v>
      </c>
      <c r="J216" s="2">
        <f t="shared" si="1"/>
        <v>2760</v>
      </c>
    </row>
    <row r="217">
      <c r="A217" s="2" t="s">
        <v>294</v>
      </c>
      <c r="B217" s="3" t="s">
        <v>114</v>
      </c>
      <c r="C217" s="4" t="s">
        <v>65</v>
      </c>
      <c r="D217" s="2">
        <v>3.0</v>
      </c>
      <c r="E217" s="5">
        <v>45823.0</v>
      </c>
      <c r="F217" s="2" t="str">
        <f>VLOOKUP(B217,Customers!A:B,2,FALSE)</f>
        <v>Priya Verma</v>
      </c>
      <c r="G217" s="2" t="str">
        <f>VLOOKUP(C217,Products!A:B,2,FALSE)</f>
        <v>Mouse</v>
      </c>
      <c r="H217" s="2" t="str">
        <f>VLOOKUP(C217,Products!A:C,3,FALSE)</f>
        <v>Accessories</v>
      </c>
      <c r="I217" s="2">
        <f>VLOOKUP(C217,Products!A:D,4,FALSE)</f>
        <v>2899</v>
      </c>
      <c r="J217" s="2">
        <f t="shared" si="1"/>
        <v>8697</v>
      </c>
    </row>
    <row r="218">
      <c r="A218" s="2" t="s">
        <v>295</v>
      </c>
      <c r="B218" s="3" t="s">
        <v>131</v>
      </c>
      <c r="C218" s="4" t="s">
        <v>151</v>
      </c>
      <c r="D218" s="2">
        <v>2.0</v>
      </c>
      <c r="E218" s="5">
        <v>45701.0</v>
      </c>
      <c r="F218" s="2" t="str">
        <f>VLOOKUP(B218,Customers!A:B,2,FALSE)</f>
        <v>John Smith</v>
      </c>
      <c r="G218" s="2" t="str">
        <f>VLOOKUP(C218,Products!A:B,2,FALSE)</f>
        <v>Speaker</v>
      </c>
      <c r="H218" s="2" t="str">
        <f>VLOOKUP(C218,Products!A:C,3,FALSE)</f>
        <v>Accessories</v>
      </c>
      <c r="I218" s="2">
        <f>VLOOKUP(C218,Products!A:D,4,FALSE)</f>
        <v>3985</v>
      </c>
      <c r="J218" s="2">
        <f t="shared" si="1"/>
        <v>7970</v>
      </c>
    </row>
    <row r="219">
      <c r="A219" s="2" t="s">
        <v>296</v>
      </c>
      <c r="B219" s="3" t="s">
        <v>140</v>
      </c>
      <c r="C219" s="4" t="s">
        <v>104</v>
      </c>
      <c r="D219" s="2">
        <v>5.0</v>
      </c>
      <c r="E219" s="5">
        <v>45762.0</v>
      </c>
      <c r="F219" s="2" t="str">
        <f>VLOOKUP(B219,Customers!A:B,2,FALSE)</f>
        <v>Arjun Sharma</v>
      </c>
      <c r="G219" s="2" t="str">
        <f>VLOOKUP(C219,Products!A:B,2,FALSE)</f>
        <v>Tablet</v>
      </c>
      <c r="H219" s="2" t="str">
        <f>VLOOKUP(C219,Products!A:C,3,FALSE)</f>
        <v>Electronics</v>
      </c>
      <c r="I219" s="2">
        <f>VLOOKUP(C219,Products!A:D,4,FALSE)</f>
        <v>61889</v>
      </c>
      <c r="J219" s="2">
        <f t="shared" si="1"/>
        <v>309445</v>
      </c>
    </row>
    <row r="220">
      <c r="A220" s="2" t="s">
        <v>297</v>
      </c>
      <c r="B220" s="3" t="s">
        <v>122</v>
      </c>
      <c r="C220" s="4" t="s">
        <v>15</v>
      </c>
      <c r="D220" s="2">
        <v>5.0</v>
      </c>
      <c r="E220" s="5">
        <v>45780.0</v>
      </c>
      <c r="F220" s="2" t="str">
        <f>VLOOKUP(B220,Customers!A:B,2,FALSE)</f>
        <v>Aisha Malhotra</v>
      </c>
      <c r="G220" s="2" t="str">
        <f>VLOOKUP(C220,Products!A:B,2,FALSE)</f>
        <v>Phone</v>
      </c>
      <c r="H220" s="2" t="str">
        <f>VLOOKUP(C220,Products!A:C,3,FALSE)</f>
        <v>Electronics</v>
      </c>
      <c r="I220" s="2">
        <f>VLOOKUP(C220,Products!A:D,4,FALSE)</f>
        <v>59549</v>
      </c>
      <c r="J220" s="2">
        <f t="shared" si="1"/>
        <v>297745</v>
      </c>
    </row>
    <row r="221">
      <c r="A221" s="2" t="s">
        <v>298</v>
      </c>
      <c r="B221" s="3" t="s">
        <v>166</v>
      </c>
      <c r="C221" s="4" t="s">
        <v>65</v>
      </c>
      <c r="D221" s="2">
        <v>4.0</v>
      </c>
      <c r="E221" s="5">
        <v>45754.0</v>
      </c>
      <c r="F221" s="2" t="str">
        <f>VLOOKUP(B221,Customers!A:B,2,FALSE)</f>
        <v>Rahul mann</v>
      </c>
      <c r="G221" s="2" t="str">
        <f>VLOOKUP(C221,Products!A:B,2,FALSE)</f>
        <v>Mouse</v>
      </c>
      <c r="H221" s="2" t="str">
        <f>VLOOKUP(C221,Products!A:C,3,FALSE)</f>
        <v>Accessories</v>
      </c>
      <c r="I221" s="2">
        <f>VLOOKUP(C221,Products!A:D,4,FALSE)</f>
        <v>2899</v>
      </c>
      <c r="J221" s="2">
        <f t="shared" si="1"/>
        <v>11596</v>
      </c>
    </row>
    <row r="222">
      <c r="A222" s="2" t="s">
        <v>299</v>
      </c>
      <c r="B222" s="3" t="s">
        <v>93</v>
      </c>
      <c r="C222" s="4" t="s">
        <v>70</v>
      </c>
      <c r="D222" s="2">
        <v>3.0</v>
      </c>
      <c r="E222" s="5">
        <v>45833.0</v>
      </c>
      <c r="F222" s="2" t="str">
        <f>VLOOKUP(B222,Customers!A:B,2,FALSE)</f>
        <v>Meera</v>
      </c>
      <c r="G222" s="2" t="str">
        <f>VLOOKUP(C222,Products!A:B,2,FALSE)</f>
        <v>Tablet</v>
      </c>
      <c r="H222" s="2" t="str">
        <f>VLOOKUP(C222,Products!A:C,3,FALSE)</f>
        <v>Electronics</v>
      </c>
      <c r="I222" s="2">
        <f>VLOOKUP(C222,Products!A:D,4,FALSE)</f>
        <v>45245</v>
      </c>
      <c r="J222" s="2">
        <f t="shared" si="1"/>
        <v>135735</v>
      </c>
    </row>
    <row r="223">
      <c r="A223" s="2" t="s">
        <v>300</v>
      </c>
      <c r="B223" s="3" t="s">
        <v>62</v>
      </c>
      <c r="C223" s="4" t="s">
        <v>65</v>
      </c>
      <c r="D223" s="2">
        <v>4.0</v>
      </c>
      <c r="E223" s="5">
        <v>45749.0</v>
      </c>
      <c r="F223" s="2" t="str">
        <f>VLOOKUP(B223,Customers!A:B,2,FALSE)</f>
        <v>Rahul mann</v>
      </c>
      <c r="G223" s="2" t="str">
        <f>VLOOKUP(C223,Products!A:B,2,FALSE)</f>
        <v>Mouse</v>
      </c>
      <c r="H223" s="2" t="str">
        <f>VLOOKUP(C223,Products!A:C,3,FALSE)</f>
        <v>Accessories</v>
      </c>
      <c r="I223" s="2">
        <f>VLOOKUP(C223,Products!A:D,4,FALSE)</f>
        <v>2899</v>
      </c>
      <c r="J223" s="2">
        <f t="shared" si="1"/>
        <v>11596</v>
      </c>
    </row>
    <row r="224">
      <c r="A224" s="2" t="s">
        <v>301</v>
      </c>
      <c r="B224" s="3" t="s">
        <v>90</v>
      </c>
      <c r="C224" s="4" t="s">
        <v>87</v>
      </c>
      <c r="D224" s="2">
        <v>2.0</v>
      </c>
      <c r="E224" s="5">
        <v>45787.0</v>
      </c>
      <c r="F224" s="2" t="str">
        <f>VLOOKUP(B224,Customers!A:B,2,FALSE)</f>
        <v>Aisha Malhotra</v>
      </c>
      <c r="G224" s="2" t="str">
        <f>VLOOKUP(C224,Products!A:B,2,FALSE)</f>
        <v>Tablet</v>
      </c>
      <c r="H224" s="2" t="str">
        <f>VLOOKUP(C224,Products!A:C,3,FALSE)</f>
        <v>Electronics</v>
      </c>
      <c r="I224" s="2">
        <f>VLOOKUP(C224,Products!A:D,4,FALSE)</f>
        <v>65755</v>
      </c>
      <c r="J224" s="2">
        <f t="shared" si="1"/>
        <v>131510</v>
      </c>
    </row>
    <row r="225">
      <c r="A225" s="2" t="s">
        <v>302</v>
      </c>
      <c r="B225" s="3" t="s">
        <v>110</v>
      </c>
      <c r="C225" s="4" t="s">
        <v>55</v>
      </c>
      <c r="D225" s="2">
        <v>5.0</v>
      </c>
      <c r="E225" s="5">
        <v>45785.0</v>
      </c>
      <c r="F225" s="2" t="str">
        <f>VLOOKUP(B225,Customers!A:B,2,FALSE)</f>
        <v>Vikram Roy</v>
      </c>
      <c r="G225" s="2" t="str">
        <f>VLOOKUP(C225,Products!A:B,2,FALSE)</f>
        <v>Speaker</v>
      </c>
      <c r="H225" s="2" t="str">
        <f>VLOOKUP(C225,Products!A:C,3,FALSE)</f>
        <v>Accessories</v>
      </c>
      <c r="I225" s="2">
        <f>VLOOKUP(C225,Products!A:D,4,FALSE)</f>
        <v>3408</v>
      </c>
      <c r="J225" s="2">
        <f t="shared" si="1"/>
        <v>17040</v>
      </c>
    </row>
    <row r="226">
      <c r="A226" s="2" t="s">
        <v>303</v>
      </c>
      <c r="B226" s="3" t="s">
        <v>102</v>
      </c>
      <c r="C226" s="4" t="s">
        <v>35</v>
      </c>
      <c r="D226" s="2">
        <v>1.0</v>
      </c>
      <c r="E226" s="5">
        <v>45800.0</v>
      </c>
      <c r="F226" s="2" t="str">
        <f>VLOOKUP(B226,Customers!A:B,2,FALSE)</f>
        <v>Sara Khan </v>
      </c>
      <c r="G226" s="2" t="str">
        <f>VLOOKUP(C226,Products!A:B,2,FALSE)</f>
        <v>Smartwatch</v>
      </c>
      <c r="H226" s="2" t="str">
        <f>VLOOKUP(C226,Products!A:C,3,FALSE)</f>
        <v>Electronics</v>
      </c>
      <c r="I226" s="2">
        <f>VLOOKUP(C226,Products!A:D,4,FALSE)</f>
        <v>49383</v>
      </c>
      <c r="J226" s="2">
        <f t="shared" si="1"/>
        <v>49383</v>
      </c>
    </row>
    <row r="227">
      <c r="A227" s="2" t="s">
        <v>304</v>
      </c>
      <c r="B227" s="3" t="s">
        <v>23</v>
      </c>
      <c r="C227" s="4" t="s">
        <v>57</v>
      </c>
      <c r="D227" s="2">
        <v>1.0</v>
      </c>
      <c r="E227" s="5">
        <v>45778.0</v>
      </c>
      <c r="F227" s="2" t="str">
        <f>VLOOKUP(B227,Customers!A:B,2,FALSE)</f>
        <v>Sara Khan </v>
      </c>
      <c r="G227" s="2" t="str">
        <f>VLOOKUP(C227,Products!A:B,2,FALSE)</f>
        <v>Smartwatch</v>
      </c>
      <c r="H227" s="2" t="str">
        <f>VLOOKUP(C227,Products!A:C,3,FALSE)</f>
        <v>Electronics</v>
      </c>
      <c r="I227" s="2">
        <f>VLOOKUP(C227,Products!A:D,4,FALSE)</f>
        <v>20151</v>
      </c>
      <c r="J227" s="2">
        <f t="shared" si="1"/>
        <v>20151</v>
      </c>
    </row>
    <row r="228">
      <c r="A228" s="2" t="s">
        <v>305</v>
      </c>
      <c r="B228" s="3" t="s">
        <v>122</v>
      </c>
      <c r="C228" s="4" t="s">
        <v>31</v>
      </c>
      <c r="D228" s="2">
        <v>2.0</v>
      </c>
      <c r="E228" s="5">
        <v>45699.0</v>
      </c>
      <c r="F228" s="2" t="str">
        <f>VLOOKUP(B228,Customers!A:B,2,FALSE)</f>
        <v>Aisha Malhotra</v>
      </c>
      <c r="G228" s="2" t="str">
        <f>VLOOKUP(C228,Products!A:B,2,FALSE)</f>
        <v>Monitor</v>
      </c>
      <c r="H228" s="2" t="str">
        <f>VLOOKUP(C228,Products!A:C,3,FALSE)</f>
        <v>Electronics</v>
      </c>
      <c r="I228" s="2">
        <f>VLOOKUP(C228,Products!A:D,4,FALSE)</f>
        <v>63079</v>
      </c>
      <c r="J228" s="2">
        <f t="shared" si="1"/>
        <v>126158</v>
      </c>
    </row>
    <row r="229">
      <c r="A229" s="2" t="s">
        <v>306</v>
      </c>
      <c r="B229" s="3" t="s">
        <v>131</v>
      </c>
      <c r="C229" s="4" t="s">
        <v>18</v>
      </c>
      <c r="D229" s="2">
        <v>2.0</v>
      </c>
      <c r="E229" s="5">
        <v>45808.0</v>
      </c>
      <c r="F229" s="2" t="str">
        <f>VLOOKUP(B229,Customers!A:B,2,FALSE)</f>
        <v>John Smith</v>
      </c>
      <c r="G229" s="2" t="str">
        <f>VLOOKUP(C229,Products!A:B,2,FALSE)</f>
        <v>Headphones</v>
      </c>
      <c r="H229" s="2" t="str">
        <f>VLOOKUP(C229,Products!A:C,3,FALSE)</f>
        <v>Accessories</v>
      </c>
      <c r="I229" s="2">
        <f>VLOOKUP(C229,Products!A:D,4,FALSE)</f>
        <v>2760</v>
      </c>
      <c r="J229" s="2">
        <f t="shared" si="1"/>
        <v>5520</v>
      </c>
    </row>
    <row r="230">
      <c r="A230" s="2" t="s">
        <v>307</v>
      </c>
      <c r="B230" s="3" t="s">
        <v>60</v>
      </c>
      <c r="C230" s="4" t="s">
        <v>65</v>
      </c>
      <c r="D230" s="2">
        <v>1.0</v>
      </c>
      <c r="E230" s="5">
        <v>45663.0</v>
      </c>
      <c r="F230" s="2" t="str">
        <f>VLOOKUP(B230,Customers!A:B,2,FALSE)</f>
        <v>Priya Verma</v>
      </c>
      <c r="G230" s="2" t="str">
        <f>VLOOKUP(C230,Products!A:B,2,FALSE)</f>
        <v>Mouse</v>
      </c>
      <c r="H230" s="2" t="str">
        <f>VLOOKUP(C230,Products!A:C,3,FALSE)</f>
        <v>Accessories</v>
      </c>
      <c r="I230" s="2">
        <f>VLOOKUP(C230,Products!A:D,4,FALSE)</f>
        <v>2899</v>
      </c>
      <c r="J230" s="2">
        <f t="shared" si="1"/>
        <v>2899</v>
      </c>
    </row>
    <row r="231">
      <c r="A231" s="2" t="s">
        <v>308</v>
      </c>
      <c r="B231" s="3" t="s">
        <v>17</v>
      </c>
      <c r="C231" s="4" t="s">
        <v>57</v>
      </c>
      <c r="D231" s="2">
        <v>1.0</v>
      </c>
      <c r="E231" s="5">
        <v>45712.0</v>
      </c>
      <c r="F231" s="2" t="str">
        <f>VLOOKUP(B231,Customers!A:B,2,FALSE)</f>
        <v>Rahul mann</v>
      </c>
      <c r="G231" s="2" t="str">
        <f>VLOOKUP(C231,Products!A:B,2,FALSE)</f>
        <v>Smartwatch</v>
      </c>
      <c r="H231" s="2" t="str">
        <f>VLOOKUP(C231,Products!A:C,3,FALSE)</f>
        <v>Electronics</v>
      </c>
      <c r="I231" s="2">
        <f>VLOOKUP(C231,Products!A:D,4,FALSE)</f>
        <v>20151</v>
      </c>
      <c r="J231" s="2">
        <f t="shared" si="1"/>
        <v>20151</v>
      </c>
    </row>
    <row r="232">
      <c r="A232" s="2" t="s">
        <v>309</v>
      </c>
      <c r="B232" s="3" t="s">
        <v>62</v>
      </c>
      <c r="C232" s="4" t="s">
        <v>18</v>
      </c>
      <c r="D232" s="2">
        <v>1.0</v>
      </c>
      <c r="E232" s="5">
        <v>45739.0</v>
      </c>
      <c r="F232" s="2" t="str">
        <f>VLOOKUP(B232,Customers!A:B,2,FALSE)</f>
        <v>Rahul mann</v>
      </c>
      <c r="G232" s="2" t="str">
        <f>VLOOKUP(C232,Products!A:B,2,FALSE)</f>
        <v>Headphones</v>
      </c>
      <c r="H232" s="2" t="str">
        <f>VLOOKUP(C232,Products!A:C,3,FALSE)</f>
        <v>Accessories</v>
      </c>
      <c r="I232" s="2">
        <f>VLOOKUP(C232,Products!A:D,4,FALSE)</f>
        <v>2760</v>
      </c>
      <c r="J232" s="2">
        <f t="shared" si="1"/>
        <v>2760</v>
      </c>
    </row>
    <row r="233">
      <c r="A233" s="2" t="s">
        <v>310</v>
      </c>
      <c r="B233" s="3" t="s">
        <v>11</v>
      </c>
      <c r="C233" s="4" t="s">
        <v>57</v>
      </c>
      <c r="D233" s="2">
        <v>5.0</v>
      </c>
      <c r="E233" s="5">
        <v>45788.0</v>
      </c>
      <c r="F233" s="2" t="str">
        <f>VLOOKUP(B233,Customers!A:B,2,FALSE)</f>
        <v>Arjun Sharma</v>
      </c>
      <c r="G233" s="2" t="str">
        <f>VLOOKUP(C233,Products!A:B,2,FALSE)</f>
        <v>Smartwatch</v>
      </c>
      <c r="H233" s="2" t="str">
        <f>VLOOKUP(C233,Products!A:C,3,FALSE)</f>
        <v>Electronics</v>
      </c>
      <c r="I233" s="2">
        <f>VLOOKUP(C233,Products!A:D,4,FALSE)</f>
        <v>20151</v>
      </c>
      <c r="J233" s="2">
        <f t="shared" si="1"/>
        <v>100755</v>
      </c>
    </row>
    <row r="234">
      <c r="A234" s="2" t="s">
        <v>311</v>
      </c>
      <c r="B234" s="3" t="s">
        <v>67</v>
      </c>
      <c r="C234" s="4" t="s">
        <v>29</v>
      </c>
      <c r="D234" s="2">
        <v>5.0</v>
      </c>
      <c r="E234" s="5">
        <v>45682.0</v>
      </c>
      <c r="F234" s="2" t="str">
        <f>VLOOKUP(B234,Customers!A:B,2,FALSE)</f>
        <v>Sara Khan </v>
      </c>
      <c r="G234" s="2" t="str">
        <f>VLOOKUP(C234,Products!A:B,2,FALSE)</f>
        <v>Charger</v>
      </c>
      <c r="H234" s="2" t="str">
        <f>VLOOKUP(C234,Products!A:C,3,FALSE)</f>
        <v>Accessories</v>
      </c>
      <c r="I234" s="2">
        <f>VLOOKUP(C234,Products!A:D,4,FALSE)</f>
        <v>586</v>
      </c>
      <c r="J234" s="2">
        <f t="shared" si="1"/>
        <v>2930</v>
      </c>
    </row>
    <row r="235">
      <c r="A235" s="2" t="s">
        <v>312</v>
      </c>
      <c r="B235" s="3" t="s">
        <v>137</v>
      </c>
      <c r="C235" s="4" t="s">
        <v>49</v>
      </c>
      <c r="D235" s="2">
        <v>4.0</v>
      </c>
      <c r="E235" s="5">
        <v>45782.0</v>
      </c>
      <c r="F235" s="2" t="str">
        <f>VLOOKUP(B235,Customers!A:B,2,FALSE)</f>
        <v>Vikram Roy</v>
      </c>
      <c r="G235" s="2" t="str">
        <f>VLOOKUP(C235,Products!A:B,2,FALSE)</f>
        <v>Tablet</v>
      </c>
      <c r="H235" s="2" t="str">
        <f>VLOOKUP(C235,Products!A:C,3,FALSE)</f>
        <v>Electronics</v>
      </c>
      <c r="I235" s="2">
        <f>VLOOKUP(C235,Products!A:D,4,FALSE)</f>
        <v>40192</v>
      </c>
      <c r="J235" s="2">
        <f t="shared" si="1"/>
        <v>160768</v>
      </c>
    </row>
    <row r="236">
      <c r="A236" s="2" t="s">
        <v>313</v>
      </c>
      <c r="B236" s="3" t="s">
        <v>100</v>
      </c>
      <c r="C236" s="4" t="s">
        <v>49</v>
      </c>
      <c r="D236" s="2">
        <v>1.0</v>
      </c>
      <c r="E236" s="5">
        <v>45780.0</v>
      </c>
      <c r="F236" s="2" t="str">
        <f>VLOOKUP(B236,Customers!A:B,2,FALSE)</f>
        <v>John Smith</v>
      </c>
      <c r="G236" s="2" t="str">
        <f>VLOOKUP(C236,Products!A:B,2,FALSE)</f>
        <v>Tablet</v>
      </c>
      <c r="H236" s="2" t="str">
        <f>VLOOKUP(C236,Products!A:C,3,FALSE)</f>
        <v>Electronics</v>
      </c>
      <c r="I236" s="2">
        <f>VLOOKUP(C236,Products!A:D,4,FALSE)</f>
        <v>40192</v>
      </c>
      <c r="J236" s="2">
        <f t="shared" si="1"/>
        <v>40192</v>
      </c>
    </row>
    <row r="237">
      <c r="A237" s="2" t="s">
        <v>314</v>
      </c>
      <c r="B237" s="3" t="s">
        <v>90</v>
      </c>
      <c r="C237" s="4" t="s">
        <v>35</v>
      </c>
      <c r="D237" s="2">
        <v>1.0</v>
      </c>
      <c r="E237" s="5">
        <v>45737.0</v>
      </c>
      <c r="F237" s="2" t="str">
        <f>VLOOKUP(B237,Customers!A:B,2,FALSE)</f>
        <v>Aisha Malhotra</v>
      </c>
      <c r="G237" s="2" t="str">
        <f>VLOOKUP(C237,Products!A:B,2,FALSE)</f>
        <v>Smartwatch</v>
      </c>
      <c r="H237" s="2" t="str">
        <f>VLOOKUP(C237,Products!A:C,3,FALSE)</f>
        <v>Electronics</v>
      </c>
      <c r="I237" s="2">
        <f>VLOOKUP(C237,Products!A:D,4,FALSE)</f>
        <v>49383</v>
      </c>
      <c r="J237" s="2">
        <f t="shared" si="1"/>
        <v>49383</v>
      </c>
    </row>
    <row r="238">
      <c r="A238" s="2" t="s">
        <v>315</v>
      </c>
      <c r="B238" s="3" t="s">
        <v>26</v>
      </c>
      <c r="C238" s="4" t="s">
        <v>49</v>
      </c>
      <c r="D238" s="2">
        <v>5.0</v>
      </c>
      <c r="E238" s="5">
        <v>45828.0</v>
      </c>
      <c r="F238" s="2" t="str">
        <f>VLOOKUP(B238,Customers!A:B,2,FALSE)</f>
        <v>Neha Kumari</v>
      </c>
      <c r="G238" s="2" t="str">
        <f>VLOOKUP(C238,Products!A:B,2,FALSE)</f>
        <v>Tablet</v>
      </c>
      <c r="H238" s="2" t="str">
        <f>VLOOKUP(C238,Products!A:C,3,FALSE)</f>
        <v>Electronics</v>
      </c>
      <c r="I238" s="2">
        <f>VLOOKUP(C238,Products!A:D,4,FALSE)</f>
        <v>40192</v>
      </c>
      <c r="J238" s="2">
        <f t="shared" si="1"/>
        <v>200960</v>
      </c>
    </row>
    <row r="239">
      <c r="A239" s="2" t="s">
        <v>316</v>
      </c>
      <c r="B239" s="3" t="s">
        <v>37</v>
      </c>
      <c r="C239" s="4" t="s">
        <v>151</v>
      </c>
      <c r="D239" s="2">
        <v>4.0</v>
      </c>
      <c r="E239" s="5">
        <v>45672.0</v>
      </c>
      <c r="F239" s="2" t="str">
        <f>VLOOKUP(B239,Customers!A:B,2,FALSE)</f>
        <v>Arjun Sharma</v>
      </c>
      <c r="G239" s="2" t="str">
        <f>VLOOKUP(C239,Products!A:B,2,FALSE)</f>
        <v>Speaker</v>
      </c>
      <c r="H239" s="2" t="str">
        <f>VLOOKUP(C239,Products!A:C,3,FALSE)</f>
        <v>Accessories</v>
      </c>
      <c r="I239" s="2">
        <f>VLOOKUP(C239,Products!A:D,4,FALSE)</f>
        <v>3985</v>
      </c>
      <c r="J239" s="2">
        <f t="shared" si="1"/>
        <v>15940</v>
      </c>
    </row>
    <row r="240">
      <c r="A240" s="2" t="s">
        <v>317</v>
      </c>
      <c r="B240" s="3" t="s">
        <v>148</v>
      </c>
      <c r="C240" s="4" t="s">
        <v>57</v>
      </c>
      <c r="D240" s="2">
        <v>1.0</v>
      </c>
      <c r="E240" s="5">
        <v>45787.0</v>
      </c>
      <c r="F240" s="2" t="str">
        <f>VLOOKUP(B240,Customers!A:B,2,FALSE)</f>
        <v>David sun</v>
      </c>
      <c r="G240" s="2" t="str">
        <f>VLOOKUP(C240,Products!A:B,2,FALSE)</f>
        <v>Smartwatch</v>
      </c>
      <c r="H240" s="2" t="str">
        <f>VLOOKUP(C240,Products!A:C,3,FALSE)</f>
        <v>Electronics</v>
      </c>
      <c r="I240" s="2">
        <f>VLOOKUP(C240,Products!A:D,4,FALSE)</f>
        <v>20151</v>
      </c>
      <c r="J240" s="2">
        <f t="shared" si="1"/>
        <v>20151</v>
      </c>
    </row>
    <row r="241">
      <c r="A241" s="2" t="s">
        <v>318</v>
      </c>
      <c r="B241" s="3" t="s">
        <v>118</v>
      </c>
      <c r="C241" s="4" t="s">
        <v>87</v>
      </c>
      <c r="D241" s="2">
        <v>4.0</v>
      </c>
      <c r="E241" s="5">
        <v>45692.0</v>
      </c>
      <c r="F241" s="2" t="str">
        <f>VLOOKUP(B241,Customers!A:B,2,FALSE)</f>
        <v>Sara Khan </v>
      </c>
      <c r="G241" s="2" t="str">
        <f>VLOOKUP(C241,Products!A:B,2,FALSE)</f>
        <v>Tablet</v>
      </c>
      <c r="H241" s="2" t="str">
        <f>VLOOKUP(C241,Products!A:C,3,FALSE)</f>
        <v>Electronics</v>
      </c>
      <c r="I241" s="2">
        <f>VLOOKUP(C241,Products!A:D,4,FALSE)</f>
        <v>65755</v>
      </c>
      <c r="J241" s="2">
        <f t="shared" si="1"/>
        <v>263020</v>
      </c>
    </row>
    <row r="242">
      <c r="A242" s="2" t="s">
        <v>319</v>
      </c>
      <c r="B242" s="3" t="s">
        <v>51</v>
      </c>
      <c r="C242" s="4" t="s">
        <v>151</v>
      </c>
      <c r="D242" s="2">
        <v>4.0</v>
      </c>
      <c r="E242" s="5">
        <v>45745.0</v>
      </c>
      <c r="F242" s="2" t="str">
        <f>VLOOKUP(B242,Customers!A:B,2,FALSE)</f>
        <v>David sun</v>
      </c>
      <c r="G242" s="2" t="str">
        <f>VLOOKUP(C242,Products!A:B,2,FALSE)</f>
        <v>Speaker</v>
      </c>
      <c r="H242" s="2" t="str">
        <f>VLOOKUP(C242,Products!A:C,3,FALSE)</f>
        <v>Accessories</v>
      </c>
      <c r="I242" s="2">
        <f>VLOOKUP(C242,Products!A:D,4,FALSE)</f>
        <v>3985</v>
      </c>
      <c r="J242" s="2">
        <f t="shared" si="1"/>
        <v>15940</v>
      </c>
    </row>
    <row r="243">
      <c r="A243" s="2" t="s">
        <v>320</v>
      </c>
      <c r="B243" s="3" t="s">
        <v>23</v>
      </c>
      <c r="C243" s="4" t="s">
        <v>31</v>
      </c>
      <c r="D243" s="2">
        <v>1.0</v>
      </c>
      <c r="E243" s="5">
        <v>45695.0</v>
      </c>
      <c r="F243" s="2" t="str">
        <f>VLOOKUP(B243,Customers!A:B,2,FALSE)</f>
        <v>Sara Khan </v>
      </c>
      <c r="G243" s="2" t="str">
        <f>VLOOKUP(C243,Products!A:B,2,FALSE)</f>
        <v>Monitor</v>
      </c>
      <c r="H243" s="2" t="str">
        <f>VLOOKUP(C243,Products!A:C,3,FALSE)</f>
        <v>Electronics</v>
      </c>
      <c r="I243" s="2">
        <f>VLOOKUP(C243,Products!A:D,4,FALSE)</f>
        <v>63079</v>
      </c>
      <c r="J243" s="2">
        <f t="shared" si="1"/>
        <v>63079</v>
      </c>
    </row>
    <row r="244">
      <c r="A244" s="2" t="s">
        <v>321</v>
      </c>
      <c r="B244" s="3" t="s">
        <v>39</v>
      </c>
      <c r="C244" s="4" t="s">
        <v>70</v>
      </c>
      <c r="D244" s="2">
        <v>3.0</v>
      </c>
      <c r="E244" s="5">
        <v>45780.0</v>
      </c>
      <c r="F244" s="2" t="str">
        <f>VLOOKUP(B244,Customers!A:B,2,FALSE)</f>
        <v>Priya Verma</v>
      </c>
      <c r="G244" s="2" t="str">
        <f>VLOOKUP(C244,Products!A:B,2,FALSE)</f>
        <v>Tablet</v>
      </c>
      <c r="H244" s="2" t="str">
        <f>VLOOKUP(C244,Products!A:C,3,FALSE)</f>
        <v>Electronics</v>
      </c>
      <c r="I244" s="2">
        <f>VLOOKUP(C244,Products!A:D,4,FALSE)</f>
        <v>45245</v>
      </c>
      <c r="J244" s="2">
        <f t="shared" si="1"/>
        <v>135735</v>
      </c>
    </row>
    <row r="245">
      <c r="A245" s="2" t="s">
        <v>322</v>
      </c>
      <c r="B245" s="3" t="s">
        <v>131</v>
      </c>
      <c r="C245" s="4" t="s">
        <v>21</v>
      </c>
      <c r="D245" s="2">
        <v>1.0</v>
      </c>
      <c r="E245" s="5">
        <v>45829.0</v>
      </c>
      <c r="F245" s="2" t="str">
        <f>VLOOKUP(B245,Customers!A:B,2,FALSE)</f>
        <v>John Smith</v>
      </c>
      <c r="G245" s="2" t="str">
        <f>VLOOKUP(C245,Products!A:B,2,FALSE)</f>
        <v>Mouse</v>
      </c>
      <c r="H245" s="2" t="str">
        <f>VLOOKUP(C245,Products!A:C,3,FALSE)</f>
        <v>Accessories</v>
      </c>
      <c r="I245" s="2">
        <f>VLOOKUP(C245,Products!A:D,4,FALSE)</f>
        <v>3649</v>
      </c>
      <c r="J245" s="2">
        <f t="shared" si="1"/>
        <v>3649</v>
      </c>
    </row>
    <row r="246">
      <c r="A246" s="2" t="s">
        <v>323</v>
      </c>
      <c r="B246" s="3" t="s">
        <v>60</v>
      </c>
      <c r="C246" s="4" t="s">
        <v>43</v>
      </c>
      <c r="D246" s="2">
        <v>5.0</v>
      </c>
      <c r="E246" s="5">
        <v>45770.0</v>
      </c>
      <c r="F246" s="2" t="str">
        <f>VLOOKUP(B246,Customers!A:B,2,FALSE)</f>
        <v>Priya Verma</v>
      </c>
      <c r="G246" s="2" t="str">
        <f>VLOOKUP(C246,Products!A:B,2,FALSE)</f>
        <v>Headphones</v>
      </c>
      <c r="H246" s="2" t="str">
        <f>VLOOKUP(C246,Products!A:C,3,FALSE)</f>
        <v>Accessories</v>
      </c>
      <c r="I246" s="2">
        <f>VLOOKUP(C246,Products!A:D,4,FALSE)</f>
        <v>1821</v>
      </c>
      <c r="J246" s="2">
        <f t="shared" si="1"/>
        <v>9105</v>
      </c>
    </row>
    <row r="247">
      <c r="A247" s="2" t="s">
        <v>324</v>
      </c>
      <c r="B247" s="3" t="s">
        <v>122</v>
      </c>
      <c r="C247" s="4" t="s">
        <v>15</v>
      </c>
      <c r="D247" s="2">
        <v>5.0</v>
      </c>
      <c r="E247" s="5">
        <v>45739.0</v>
      </c>
      <c r="F247" s="2" t="str">
        <f>VLOOKUP(B247,Customers!A:B,2,FALSE)</f>
        <v>Aisha Malhotra</v>
      </c>
      <c r="G247" s="2" t="str">
        <f>VLOOKUP(C247,Products!A:B,2,FALSE)</f>
        <v>Phone</v>
      </c>
      <c r="H247" s="2" t="str">
        <f>VLOOKUP(C247,Products!A:C,3,FALSE)</f>
        <v>Electronics</v>
      </c>
      <c r="I247" s="2">
        <f>VLOOKUP(C247,Products!A:D,4,FALSE)</f>
        <v>59549</v>
      </c>
      <c r="J247" s="2">
        <f t="shared" si="1"/>
        <v>297745</v>
      </c>
    </row>
    <row r="248">
      <c r="A248" s="2" t="s">
        <v>325</v>
      </c>
      <c r="B248" s="3" t="s">
        <v>37</v>
      </c>
      <c r="C248" s="4" t="s">
        <v>104</v>
      </c>
      <c r="D248" s="2">
        <v>5.0</v>
      </c>
      <c r="E248" s="5">
        <v>45707.0</v>
      </c>
      <c r="F248" s="2" t="str">
        <f>VLOOKUP(B248,Customers!A:B,2,FALSE)</f>
        <v>Arjun Sharma</v>
      </c>
      <c r="G248" s="2" t="str">
        <f>VLOOKUP(C248,Products!A:B,2,FALSE)</f>
        <v>Tablet</v>
      </c>
      <c r="H248" s="2" t="str">
        <f>VLOOKUP(C248,Products!A:C,3,FALSE)</f>
        <v>Electronics</v>
      </c>
      <c r="I248" s="2">
        <f>VLOOKUP(C248,Products!A:D,4,FALSE)</f>
        <v>61889</v>
      </c>
      <c r="J248" s="2">
        <f t="shared" si="1"/>
        <v>309445</v>
      </c>
    </row>
    <row r="249">
      <c r="A249" s="2" t="s">
        <v>326</v>
      </c>
      <c r="B249" s="3" t="s">
        <v>140</v>
      </c>
      <c r="C249" s="4" t="s">
        <v>151</v>
      </c>
      <c r="D249" s="2">
        <v>2.0</v>
      </c>
      <c r="E249" s="5">
        <v>45794.0</v>
      </c>
      <c r="F249" s="2" t="str">
        <f>VLOOKUP(B249,Customers!A:B,2,FALSE)</f>
        <v>Arjun Sharma</v>
      </c>
      <c r="G249" s="2" t="str">
        <f>VLOOKUP(C249,Products!A:B,2,FALSE)</f>
        <v>Speaker</v>
      </c>
      <c r="H249" s="2" t="str">
        <f>VLOOKUP(C249,Products!A:C,3,FALSE)</f>
        <v>Accessories</v>
      </c>
      <c r="I249" s="2">
        <f>VLOOKUP(C249,Products!A:D,4,FALSE)</f>
        <v>3985</v>
      </c>
      <c r="J249" s="2">
        <f t="shared" si="1"/>
        <v>7970</v>
      </c>
    </row>
    <row r="250">
      <c r="A250" s="2" t="s">
        <v>327</v>
      </c>
      <c r="B250" s="3" t="s">
        <v>102</v>
      </c>
      <c r="C250" s="4" t="s">
        <v>65</v>
      </c>
      <c r="D250" s="2">
        <v>5.0</v>
      </c>
      <c r="E250" s="5">
        <v>45700.0</v>
      </c>
      <c r="F250" s="2" t="str">
        <f>VLOOKUP(B250,Customers!A:B,2,FALSE)</f>
        <v>Sara Khan </v>
      </c>
      <c r="G250" s="2" t="str">
        <f>VLOOKUP(C250,Products!A:B,2,FALSE)</f>
        <v>Mouse</v>
      </c>
      <c r="H250" s="2" t="str">
        <f>VLOOKUP(C250,Products!A:C,3,FALSE)</f>
        <v>Accessories</v>
      </c>
      <c r="I250" s="2">
        <f>VLOOKUP(C250,Products!A:D,4,FALSE)</f>
        <v>2899</v>
      </c>
      <c r="J250" s="2">
        <f t="shared" si="1"/>
        <v>14495</v>
      </c>
    </row>
    <row r="251">
      <c r="A251" s="2" t="s">
        <v>328</v>
      </c>
      <c r="B251" s="3" t="s">
        <v>48</v>
      </c>
      <c r="C251" s="4" t="s">
        <v>104</v>
      </c>
      <c r="D251" s="2">
        <v>2.0</v>
      </c>
      <c r="E251" s="5">
        <v>45697.0</v>
      </c>
      <c r="F251" s="2" t="str">
        <f>VLOOKUP(B251,Customers!A:B,2,FALSE)</f>
        <v>Neha Kumari</v>
      </c>
      <c r="G251" s="2" t="str">
        <f>VLOOKUP(C251,Products!A:B,2,FALSE)</f>
        <v>Tablet</v>
      </c>
      <c r="H251" s="2" t="str">
        <f>VLOOKUP(C251,Products!A:C,3,FALSE)</f>
        <v>Electronics</v>
      </c>
      <c r="I251" s="2">
        <f>VLOOKUP(C251,Products!A:D,4,FALSE)</f>
        <v>61889</v>
      </c>
      <c r="J251" s="2">
        <f t="shared" si="1"/>
        <v>123778</v>
      </c>
    </row>
    <row r="252">
      <c r="A252" s="2" t="s">
        <v>329</v>
      </c>
      <c r="B252" s="3" t="s">
        <v>254</v>
      </c>
      <c r="C252" s="4" t="s">
        <v>35</v>
      </c>
      <c r="D252" s="2">
        <v>2.0</v>
      </c>
      <c r="E252" s="5">
        <v>45704.0</v>
      </c>
      <c r="F252" s="2" t="str">
        <f>VLOOKUP(B252,Customers!A:B,2,FALSE)</f>
        <v>David sun</v>
      </c>
      <c r="G252" s="2" t="str">
        <f>VLOOKUP(C252,Products!A:B,2,FALSE)</f>
        <v>Smartwatch</v>
      </c>
      <c r="H252" s="2" t="str">
        <f>VLOOKUP(C252,Products!A:C,3,FALSE)</f>
        <v>Electronics</v>
      </c>
      <c r="I252" s="2">
        <f>VLOOKUP(C252,Products!A:D,4,FALSE)</f>
        <v>49383</v>
      </c>
      <c r="J252" s="2">
        <f t="shared" si="1"/>
        <v>98766</v>
      </c>
    </row>
    <row r="253">
      <c r="A253" s="2" t="s">
        <v>330</v>
      </c>
      <c r="B253" s="3" t="s">
        <v>148</v>
      </c>
      <c r="C253" s="4" t="s">
        <v>65</v>
      </c>
      <c r="D253" s="2">
        <v>3.0</v>
      </c>
      <c r="E253" s="5">
        <v>45698.0</v>
      </c>
      <c r="F253" s="2" t="str">
        <f>VLOOKUP(B253,Customers!A:B,2,FALSE)</f>
        <v>David sun</v>
      </c>
      <c r="G253" s="2" t="str">
        <f>VLOOKUP(C253,Products!A:B,2,FALSE)</f>
        <v>Mouse</v>
      </c>
      <c r="H253" s="2" t="str">
        <f>VLOOKUP(C253,Products!A:C,3,FALSE)</f>
        <v>Accessories</v>
      </c>
      <c r="I253" s="2">
        <f>VLOOKUP(C253,Products!A:D,4,FALSE)</f>
        <v>2899</v>
      </c>
      <c r="J253" s="2">
        <f t="shared" si="1"/>
        <v>8697</v>
      </c>
    </row>
    <row r="254">
      <c r="A254" s="2" t="s">
        <v>331</v>
      </c>
      <c r="B254" s="3" t="s">
        <v>83</v>
      </c>
      <c r="C254" s="4" t="s">
        <v>87</v>
      </c>
      <c r="D254" s="2">
        <v>5.0</v>
      </c>
      <c r="E254" s="5">
        <v>45786.0</v>
      </c>
      <c r="F254" s="2" t="str">
        <f>VLOOKUP(B254,Customers!A:B,2,FALSE)</f>
        <v>John Smith</v>
      </c>
      <c r="G254" s="2" t="str">
        <f>VLOOKUP(C254,Products!A:B,2,FALSE)</f>
        <v>Tablet</v>
      </c>
      <c r="H254" s="2" t="str">
        <f>VLOOKUP(C254,Products!A:C,3,FALSE)</f>
        <v>Electronics</v>
      </c>
      <c r="I254" s="2">
        <f>VLOOKUP(C254,Products!A:D,4,FALSE)</f>
        <v>65755</v>
      </c>
      <c r="J254" s="2">
        <f t="shared" si="1"/>
        <v>328775</v>
      </c>
    </row>
    <row r="255">
      <c r="A255" s="2" t="s">
        <v>332</v>
      </c>
      <c r="B255" s="3" t="s">
        <v>79</v>
      </c>
      <c r="C255" s="4" t="s">
        <v>12</v>
      </c>
      <c r="D255" s="2">
        <v>1.0</v>
      </c>
      <c r="E255" s="5">
        <v>45695.0</v>
      </c>
      <c r="F255" s="2" t="str">
        <f>VLOOKUP(B255,Customers!A:B,2,FALSE)</f>
        <v>Priya Verma</v>
      </c>
      <c r="G255" s="2" t="str">
        <f>VLOOKUP(C255,Products!A:B,2,FALSE)</f>
        <v>Laptop</v>
      </c>
      <c r="H255" s="2" t="str">
        <f>VLOOKUP(C255,Products!A:C,3,FALSE)</f>
        <v>Electronics</v>
      </c>
      <c r="I255" s="2">
        <f>VLOOKUP(C255,Products!A:D,4,FALSE)</f>
        <v>62520</v>
      </c>
      <c r="J255" s="2">
        <f t="shared" si="1"/>
        <v>62520</v>
      </c>
    </row>
    <row r="256">
      <c r="A256" s="2" t="s">
        <v>333</v>
      </c>
      <c r="B256" s="3" t="s">
        <v>28</v>
      </c>
      <c r="C256" s="4" t="s">
        <v>87</v>
      </c>
      <c r="D256" s="2">
        <v>5.0</v>
      </c>
      <c r="E256" s="5">
        <v>45750.0</v>
      </c>
      <c r="F256" s="2" t="str">
        <f>VLOOKUP(B256,Customers!A:B,2,FALSE)</f>
        <v>David sun</v>
      </c>
      <c r="G256" s="2" t="str">
        <f>VLOOKUP(C256,Products!A:B,2,FALSE)</f>
        <v>Tablet</v>
      </c>
      <c r="H256" s="2" t="str">
        <f>VLOOKUP(C256,Products!A:C,3,FALSE)</f>
        <v>Electronics</v>
      </c>
      <c r="I256" s="2">
        <f>VLOOKUP(C256,Products!A:D,4,FALSE)</f>
        <v>65755</v>
      </c>
      <c r="J256" s="2">
        <f t="shared" si="1"/>
        <v>328775</v>
      </c>
    </row>
    <row r="257">
      <c r="A257" s="2" t="s">
        <v>334</v>
      </c>
      <c r="B257" s="3" t="s">
        <v>126</v>
      </c>
      <c r="C257" s="4" t="s">
        <v>29</v>
      </c>
      <c r="D257" s="2">
        <v>3.0</v>
      </c>
      <c r="E257" s="5">
        <v>45795.0</v>
      </c>
      <c r="F257" s="2" t="str">
        <f>VLOOKUP(B257,Customers!A:B,2,FALSE)</f>
        <v>Meera</v>
      </c>
      <c r="G257" s="2" t="str">
        <f>VLOOKUP(C257,Products!A:B,2,FALSE)</f>
        <v>Charger</v>
      </c>
      <c r="H257" s="2" t="str">
        <f>VLOOKUP(C257,Products!A:C,3,FALSE)</f>
        <v>Accessories</v>
      </c>
      <c r="I257" s="2">
        <f>VLOOKUP(C257,Products!A:D,4,FALSE)</f>
        <v>586</v>
      </c>
      <c r="J257" s="2">
        <f t="shared" si="1"/>
        <v>1758</v>
      </c>
    </row>
    <row r="258">
      <c r="A258" s="2" t="s">
        <v>335</v>
      </c>
      <c r="B258" s="3" t="s">
        <v>148</v>
      </c>
      <c r="C258" s="4" t="s">
        <v>12</v>
      </c>
      <c r="D258" s="2">
        <v>3.0</v>
      </c>
      <c r="E258" s="5">
        <v>45671.0</v>
      </c>
      <c r="F258" s="2" t="str">
        <f>VLOOKUP(B258,Customers!A:B,2,FALSE)</f>
        <v>David sun</v>
      </c>
      <c r="G258" s="2" t="str">
        <f>VLOOKUP(C258,Products!A:B,2,FALSE)</f>
        <v>Laptop</v>
      </c>
      <c r="H258" s="2" t="str">
        <f>VLOOKUP(C258,Products!A:C,3,FALSE)</f>
        <v>Electronics</v>
      </c>
      <c r="I258" s="2">
        <f>VLOOKUP(C258,Products!A:D,4,FALSE)</f>
        <v>62520</v>
      </c>
      <c r="J258" s="2">
        <f t="shared" si="1"/>
        <v>187560</v>
      </c>
    </row>
    <row r="259">
      <c r="A259" s="2" t="s">
        <v>336</v>
      </c>
      <c r="B259" s="3" t="s">
        <v>42</v>
      </c>
      <c r="C259" s="4" t="s">
        <v>55</v>
      </c>
      <c r="D259" s="2">
        <v>1.0</v>
      </c>
      <c r="E259" s="5">
        <v>45703.0</v>
      </c>
      <c r="F259" s="2" t="str">
        <f>VLOOKUP(B259,Customers!A:B,2,FALSE)</f>
        <v>Rahul mann</v>
      </c>
      <c r="G259" s="2" t="str">
        <f>VLOOKUP(C259,Products!A:B,2,FALSE)</f>
        <v>Speaker</v>
      </c>
      <c r="H259" s="2" t="str">
        <f>VLOOKUP(C259,Products!A:C,3,FALSE)</f>
        <v>Accessories</v>
      </c>
      <c r="I259" s="2">
        <f>VLOOKUP(C259,Products!A:D,4,FALSE)</f>
        <v>3408</v>
      </c>
      <c r="J259" s="2">
        <f t="shared" si="1"/>
        <v>3408</v>
      </c>
    </row>
    <row r="260">
      <c r="A260" s="2" t="s">
        <v>337</v>
      </c>
      <c r="B260" s="3" t="s">
        <v>51</v>
      </c>
      <c r="C260" s="4" t="s">
        <v>24</v>
      </c>
      <c r="D260" s="2">
        <v>4.0</v>
      </c>
      <c r="E260" s="5">
        <v>45828.0</v>
      </c>
      <c r="F260" s="2" t="str">
        <f>VLOOKUP(B260,Customers!A:B,2,FALSE)</f>
        <v>David sun</v>
      </c>
      <c r="G260" s="2" t="str">
        <f>VLOOKUP(C260,Products!A:B,2,FALSE)</f>
        <v>Keyboard</v>
      </c>
      <c r="H260" s="2" t="str">
        <f>VLOOKUP(C260,Products!A:C,3,FALSE)</f>
        <v>Accessories</v>
      </c>
      <c r="I260" s="2">
        <f>VLOOKUP(C260,Products!A:D,4,FALSE)</f>
        <v>2426</v>
      </c>
      <c r="J260" s="2">
        <f t="shared" si="1"/>
        <v>9704</v>
      </c>
    </row>
    <row r="261">
      <c r="A261" s="2" t="s">
        <v>338</v>
      </c>
      <c r="B261" s="3" t="s">
        <v>126</v>
      </c>
      <c r="C261" s="4" t="s">
        <v>70</v>
      </c>
      <c r="D261" s="2">
        <v>4.0</v>
      </c>
      <c r="E261" s="5">
        <v>45738.0</v>
      </c>
      <c r="F261" s="2" t="str">
        <f>VLOOKUP(B261,Customers!A:B,2,FALSE)</f>
        <v>Meera</v>
      </c>
      <c r="G261" s="2" t="str">
        <f>VLOOKUP(C261,Products!A:B,2,FALSE)</f>
        <v>Tablet</v>
      </c>
      <c r="H261" s="2" t="str">
        <f>VLOOKUP(C261,Products!A:C,3,FALSE)</f>
        <v>Electronics</v>
      </c>
      <c r="I261" s="2">
        <f>VLOOKUP(C261,Products!A:D,4,FALSE)</f>
        <v>45245</v>
      </c>
      <c r="J261" s="2">
        <f t="shared" si="1"/>
        <v>180980</v>
      </c>
    </row>
    <row r="262">
      <c r="A262" s="2" t="s">
        <v>339</v>
      </c>
      <c r="B262" s="3" t="s">
        <v>131</v>
      </c>
      <c r="C262" s="4" t="s">
        <v>57</v>
      </c>
      <c r="D262" s="2">
        <v>3.0</v>
      </c>
      <c r="E262" s="5">
        <v>45743.0</v>
      </c>
      <c r="F262" s="2" t="str">
        <f>VLOOKUP(B262,Customers!A:B,2,FALSE)</f>
        <v>John Smith</v>
      </c>
      <c r="G262" s="2" t="str">
        <f>VLOOKUP(C262,Products!A:B,2,FALSE)</f>
        <v>Smartwatch</v>
      </c>
      <c r="H262" s="2" t="str">
        <f>VLOOKUP(C262,Products!A:C,3,FALSE)</f>
        <v>Electronics</v>
      </c>
      <c r="I262" s="2">
        <f>VLOOKUP(C262,Products!A:D,4,FALSE)</f>
        <v>20151</v>
      </c>
      <c r="J262" s="2">
        <f t="shared" si="1"/>
        <v>60453</v>
      </c>
    </row>
    <row r="263">
      <c r="A263" s="2" t="s">
        <v>340</v>
      </c>
      <c r="B263" s="3" t="s">
        <v>62</v>
      </c>
      <c r="C263" s="4" t="s">
        <v>40</v>
      </c>
      <c r="D263" s="2">
        <v>5.0</v>
      </c>
      <c r="E263" s="5">
        <v>45767.0</v>
      </c>
      <c r="F263" s="2" t="str">
        <f>VLOOKUP(B263,Customers!A:B,2,FALSE)</f>
        <v>Rahul mann</v>
      </c>
      <c r="G263" s="2" t="str">
        <f>VLOOKUP(C263,Products!A:B,2,FALSE)</f>
        <v>Phone</v>
      </c>
      <c r="H263" s="2" t="str">
        <f>VLOOKUP(C263,Products!A:C,3,FALSE)</f>
        <v>Electronics</v>
      </c>
      <c r="I263" s="2">
        <f>VLOOKUP(C263,Products!A:D,4,FALSE)</f>
        <v>50972</v>
      </c>
      <c r="J263" s="2">
        <f t="shared" si="1"/>
        <v>254860</v>
      </c>
    </row>
    <row r="264">
      <c r="A264" s="2" t="s">
        <v>341</v>
      </c>
      <c r="B264" s="3" t="s">
        <v>90</v>
      </c>
      <c r="C264" s="4" t="s">
        <v>31</v>
      </c>
      <c r="D264" s="2">
        <v>5.0</v>
      </c>
      <c r="E264" s="5">
        <v>45748.0</v>
      </c>
      <c r="F264" s="2" t="str">
        <f>VLOOKUP(B264,Customers!A:B,2,FALSE)</f>
        <v>Aisha Malhotra</v>
      </c>
      <c r="G264" s="2" t="str">
        <f>VLOOKUP(C264,Products!A:B,2,FALSE)</f>
        <v>Monitor</v>
      </c>
      <c r="H264" s="2" t="str">
        <f>VLOOKUP(C264,Products!A:C,3,FALSE)</f>
        <v>Electronics</v>
      </c>
      <c r="I264" s="2">
        <f>VLOOKUP(C264,Products!A:D,4,FALSE)</f>
        <v>63079</v>
      </c>
      <c r="J264" s="2">
        <f t="shared" si="1"/>
        <v>315395</v>
      </c>
    </row>
    <row r="265">
      <c r="A265" s="2" t="s">
        <v>342</v>
      </c>
      <c r="B265" s="3" t="s">
        <v>53</v>
      </c>
      <c r="C265" s="4" t="s">
        <v>15</v>
      </c>
      <c r="D265" s="2">
        <v>4.0</v>
      </c>
      <c r="E265" s="5">
        <v>45747.0</v>
      </c>
      <c r="F265" s="2" t="str">
        <f>VLOOKUP(B265,Customers!A:B,2,FALSE)</f>
        <v>Aisha Malhotra</v>
      </c>
      <c r="G265" s="2" t="str">
        <f>VLOOKUP(C265,Products!A:B,2,FALSE)</f>
        <v>Phone</v>
      </c>
      <c r="H265" s="2" t="str">
        <f>VLOOKUP(C265,Products!A:C,3,FALSE)</f>
        <v>Electronics</v>
      </c>
      <c r="I265" s="2">
        <f>VLOOKUP(C265,Products!A:D,4,FALSE)</f>
        <v>59549</v>
      </c>
      <c r="J265" s="2">
        <f t="shared" si="1"/>
        <v>238196</v>
      </c>
    </row>
    <row r="266">
      <c r="A266" s="2" t="s">
        <v>343</v>
      </c>
      <c r="B266" s="3" t="s">
        <v>143</v>
      </c>
      <c r="C266" s="4" t="s">
        <v>87</v>
      </c>
      <c r="D266" s="2">
        <v>4.0</v>
      </c>
      <c r="E266" s="5">
        <v>45768.0</v>
      </c>
      <c r="F266" s="2" t="str">
        <f>VLOOKUP(B266,Customers!A:B,2,FALSE)</f>
        <v>Rahul mann</v>
      </c>
      <c r="G266" s="2" t="str">
        <f>VLOOKUP(C266,Products!A:B,2,FALSE)</f>
        <v>Tablet</v>
      </c>
      <c r="H266" s="2" t="str">
        <f>VLOOKUP(C266,Products!A:C,3,FALSE)</f>
        <v>Electronics</v>
      </c>
      <c r="I266" s="2">
        <f>VLOOKUP(C266,Products!A:D,4,FALSE)</f>
        <v>65755</v>
      </c>
      <c r="J266" s="2">
        <f t="shared" si="1"/>
        <v>263020</v>
      </c>
    </row>
    <row r="267">
      <c r="A267" s="2" t="s">
        <v>344</v>
      </c>
      <c r="B267" s="3" t="s">
        <v>77</v>
      </c>
      <c r="C267" s="4" t="s">
        <v>65</v>
      </c>
      <c r="D267" s="2">
        <v>4.0</v>
      </c>
      <c r="E267" s="5">
        <v>45713.0</v>
      </c>
      <c r="F267" s="2" t="str">
        <f>VLOOKUP(B267,Customers!A:B,2,FALSE)</f>
        <v>Arjun Sharma</v>
      </c>
      <c r="G267" s="2" t="str">
        <f>VLOOKUP(C267,Products!A:B,2,FALSE)</f>
        <v>Mouse</v>
      </c>
      <c r="H267" s="2" t="str">
        <f>VLOOKUP(C267,Products!A:C,3,FALSE)</f>
        <v>Accessories</v>
      </c>
      <c r="I267" s="2">
        <f>VLOOKUP(C267,Products!A:D,4,FALSE)</f>
        <v>2899</v>
      </c>
      <c r="J267" s="2">
        <f t="shared" si="1"/>
        <v>11596</v>
      </c>
    </row>
    <row r="268">
      <c r="A268" s="2" t="s">
        <v>345</v>
      </c>
      <c r="B268" s="3" t="s">
        <v>77</v>
      </c>
      <c r="C268" s="4" t="s">
        <v>55</v>
      </c>
      <c r="D268" s="2">
        <v>3.0</v>
      </c>
      <c r="E268" s="5">
        <v>45792.0</v>
      </c>
      <c r="F268" s="2" t="str">
        <f>VLOOKUP(B268,Customers!A:B,2,FALSE)</f>
        <v>Arjun Sharma</v>
      </c>
      <c r="G268" s="2" t="str">
        <f>VLOOKUP(C268,Products!A:B,2,FALSE)</f>
        <v>Speaker</v>
      </c>
      <c r="H268" s="2" t="str">
        <f>VLOOKUP(C268,Products!A:C,3,FALSE)</f>
        <v>Accessories</v>
      </c>
      <c r="I268" s="2">
        <f>VLOOKUP(C268,Products!A:D,4,FALSE)</f>
        <v>3408</v>
      </c>
      <c r="J268" s="2">
        <f t="shared" si="1"/>
        <v>10224</v>
      </c>
    </row>
    <row r="269">
      <c r="A269" s="2" t="s">
        <v>346</v>
      </c>
      <c r="B269" s="3" t="s">
        <v>213</v>
      </c>
      <c r="C269" s="4" t="s">
        <v>49</v>
      </c>
      <c r="D269" s="2">
        <v>4.0</v>
      </c>
      <c r="E269" s="5">
        <v>45699.0</v>
      </c>
      <c r="F269" s="2" t="str">
        <f>VLOOKUP(B269,Customers!A:B,2,FALSE)</f>
        <v>David sun</v>
      </c>
      <c r="G269" s="2" t="str">
        <f>VLOOKUP(C269,Products!A:B,2,FALSE)</f>
        <v>Tablet</v>
      </c>
      <c r="H269" s="2" t="str">
        <f>VLOOKUP(C269,Products!A:C,3,FALSE)</f>
        <v>Electronics</v>
      </c>
      <c r="I269" s="2">
        <f>VLOOKUP(C269,Products!A:D,4,FALSE)</f>
        <v>40192</v>
      </c>
      <c r="J269" s="2">
        <f t="shared" si="1"/>
        <v>160768</v>
      </c>
    </row>
    <row r="270">
      <c r="A270" s="2" t="s">
        <v>347</v>
      </c>
      <c r="B270" s="3" t="s">
        <v>166</v>
      </c>
      <c r="C270" s="4" t="s">
        <v>104</v>
      </c>
      <c r="D270" s="2">
        <v>1.0</v>
      </c>
      <c r="E270" s="5">
        <v>45742.0</v>
      </c>
      <c r="F270" s="2" t="str">
        <f>VLOOKUP(B270,Customers!A:B,2,FALSE)</f>
        <v>Rahul mann</v>
      </c>
      <c r="G270" s="2" t="str">
        <f>VLOOKUP(C270,Products!A:B,2,FALSE)</f>
        <v>Tablet</v>
      </c>
      <c r="H270" s="2" t="str">
        <f>VLOOKUP(C270,Products!A:C,3,FALSE)</f>
        <v>Electronics</v>
      </c>
      <c r="I270" s="2">
        <f>VLOOKUP(C270,Products!A:D,4,FALSE)</f>
        <v>61889</v>
      </c>
      <c r="J270" s="2">
        <f t="shared" si="1"/>
        <v>61889</v>
      </c>
    </row>
    <row r="271">
      <c r="A271" s="2" t="s">
        <v>348</v>
      </c>
      <c r="B271" s="3" t="s">
        <v>349</v>
      </c>
      <c r="C271" s="4" t="s">
        <v>65</v>
      </c>
      <c r="D271" s="2">
        <v>5.0</v>
      </c>
      <c r="E271" s="5">
        <v>45677.0</v>
      </c>
      <c r="F271" s="2" t="str">
        <f>VLOOKUP(B271,Customers!A:B,2,FALSE)</f>
        <v>Meera</v>
      </c>
      <c r="G271" s="2" t="str">
        <f>VLOOKUP(C271,Products!A:B,2,FALSE)</f>
        <v>Mouse</v>
      </c>
      <c r="H271" s="2" t="str">
        <f>VLOOKUP(C271,Products!A:C,3,FALSE)</f>
        <v>Accessories</v>
      </c>
      <c r="I271" s="2">
        <f>VLOOKUP(C271,Products!A:D,4,FALSE)</f>
        <v>2899</v>
      </c>
      <c r="J271" s="2">
        <f t="shared" si="1"/>
        <v>14495</v>
      </c>
    </row>
    <row r="272">
      <c r="A272" s="2" t="s">
        <v>350</v>
      </c>
      <c r="B272" s="3" t="s">
        <v>62</v>
      </c>
      <c r="C272" s="4" t="s">
        <v>80</v>
      </c>
      <c r="D272" s="2">
        <v>2.0</v>
      </c>
      <c r="E272" s="5">
        <v>45788.0</v>
      </c>
      <c r="F272" s="2" t="str">
        <f>VLOOKUP(B272,Customers!A:B,2,FALSE)</f>
        <v>Rahul mann</v>
      </c>
      <c r="G272" s="2" t="str">
        <f>VLOOKUP(C272,Products!A:B,2,FALSE)</f>
        <v>Phone</v>
      </c>
      <c r="H272" s="2" t="str">
        <f>VLOOKUP(C272,Products!A:C,3,FALSE)</f>
        <v>Electronics</v>
      </c>
      <c r="I272" s="2">
        <f>VLOOKUP(C272,Products!A:D,4,FALSE)</f>
        <v>21434</v>
      </c>
      <c r="J272" s="2">
        <f t="shared" si="1"/>
        <v>42868</v>
      </c>
    </row>
    <row r="273">
      <c r="A273" s="2" t="s">
        <v>351</v>
      </c>
      <c r="B273" s="3" t="s">
        <v>39</v>
      </c>
      <c r="C273" s="4" t="s">
        <v>57</v>
      </c>
      <c r="D273" s="2">
        <v>2.0</v>
      </c>
      <c r="E273" s="5">
        <v>45703.0</v>
      </c>
      <c r="F273" s="2" t="str">
        <f>VLOOKUP(B273,Customers!A:B,2,FALSE)</f>
        <v>Priya Verma</v>
      </c>
      <c r="G273" s="2" t="str">
        <f>VLOOKUP(C273,Products!A:B,2,FALSE)</f>
        <v>Smartwatch</v>
      </c>
      <c r="H273" s="2" t="str">
        <f>VLOOKUP(C273,Products!A:C,3,FALSE)</f>
        <v>Electronics</v>
      </c>
      <c r="I273" s="2">
        <f>VLOOKUP(C273,Products!A:D,4,FALSE)</f>
        <v>20151</v>
      </c>
      <c r="J273" s="2">
        <f t="shared" si="1"/>
        <v>40302</v>
      </c>
    </row>
    <row r="274">
      <c r="A274" s="2" t="s">
        <v>352</v>
      </c>
      <c r="B274" s="3" t="s">
        <v>53</v>
      </c>
      <c r="C274" s="4" t="s">
        <v>70</v>
      </c>
      <c r="D274" s="2">
        <v>2.0</v>
      </c>
      <c r="E274" s="5">
        <v>45798.0</v>
      </c>
      <c r="F274" s="2" t="str">
        <f>VLOOKUP(B274,Customers!A:B,2,FALSE)</f>
        <v>Aisha Malhotra</v>
      </c>
      <c r="G274" s="2" t="str">
        <f>VLOOKUP(C274,Products!A:B,2,FALSE)</f>
        <v>Tablet</v>
      </c>
      <c r="H274" s="2" t="str">
        <f>VLOOKUP(C274,Products!A:C,3,FALSE)</f>
        <v>Electronics</v>
      </c>
      <c r="I274" s="2">
        <f>VLOOKUP(C274,Products!A:D,4,FALSE)</f>
        <v>45245</v>
      </c>
      <c r="J274" s="2">
        <f t="shared" si="1"/>
        <v>90490</v>
      </c>
    </row>
    <row r="275">
      <c r="A275" s="2" t="s">
        <v>353</v>
      </c>
      <c r="B275" s="3" t="s">
        <v>77</v>
      </c>
      <c r="C275" s="4" t="s">
        <v>57</v>
      </c>
      <c r="D275" s="2">
        <v>5.0</v>
      </c>
      <c r="E275" s="5">
        <v>45705.0</v>
      </c>
      <c r="F275" s="2" t="str">
        <f>VLOOKUP(B275,Customers!A:B,2,FALSE)</f>
        <v>Arjun Sharma</v>
      </c>
      <c r="G275" s="2" t="str">
        <f>VLOOKUP(C275,Products!A:B,2,FALSE)</f>
        <v>Smartwatch</v>
      </c>
      <c r="H275" s="2" t="str">
        <f>VLOOKUP(C275,Products!A:C,3,FALSE)</f>
        <v>Electronics</v>
      </c>
      <c r="I275" s="2">
        <f>VLOOKUP(C275,Products!A:D,4,FALSE)</f>
        <v>20151</v>
      </c>
      <c r="J275" s="2">
        <f t="shared" si="1"/>
        <v>100755</v>
      </c>
    </row>
    <row r="276">
      <c r="A276" s="2" t="s">
        <v>354</v>
      </c>
      <c r="B276" s="3" t="s">
        <v>126</v>
      </c>
      <c r="C276" s="4" t="s">
        <v>151</v>
      </c>
      <c r="D276" s="2">
        <v>3.0</v>
      </c>
      <c r="E276" s="5">
        <v>45733.0</v>
      </c>
      <c r="F276" s="2" t="str">
        <f>VLOOKUP(B276,Customers!A:B,2,FALSE)</f>
        <v>Meera</v>
      </c>
      <c r="G276" s="2" t="str">
        <f>VLOOKUP(C276,Products!A:B,2,FALSE)</f>
        <v>Speaker</v>
      </c>
      <c r="H276" s="2" t="str">
        <f>VLOOKUP(C276,Products!A:C,3,FALSE)</f>
        <v>Accessories</v>
      </c>
      <c r="I276" s="2">
        <f>VLOOKUP(C276,Products!A:D,4,FALSE)</f>
        <v>3985</v>
      </c>
      <c r="J276" s="2">
        <f t="shared" si="1"/>
        <v>11955</v>
      </c>
    </row>
    <row r="277">
      <c r="A277" s="2" t="s">
        <v>355</v>
      </c>
      <c r="B277" s="3" t="s">
        <v>90</v>
      </c>
      <c r="C277" s="4" t="s">
        <v>55</v>
      </c>
      <c r="D277" s="2">
        <v>3.0</v>
      </c>
      <c r="E277" s="5">
        <v>45774.0</v>
      </c>
      <c r="F277" s="2" t="str">
        <f>VLOOKUP(B277,Customers!A:B,2,FALSE)</f>
        <v>Aisha Malhotra</v>
      </c>
      <c r="G277" s="2" t="str">
        <f>VLOOKUP(C277,Products!A:B,2,FALSE)</f>
        <v>Speaker</v>
      </c>
      <c r="H277" s="2" t="str">
        <f>VLOOKUP(C277,Products!A:C,3,FALSE)</f>
        <v>Accessories</v>
      </c>
      <c r="I277" s="2">
        <f>VLOOKUP(C277,Products!A:D,4,FALSE)</f>
        <v>3408</v>
      </c>
      <c r="J277" s="2">
        <f t="shared" si="1"/>
        <v>10224</v>
      </c>
    </row>
    <row r="278">
      <c r="A278" s="2" t="s">
        <v>356</v>
      </c>
      <c r="B278" s="3" t="s">
        <v>98</v>
      </c>
      <c r="C278" s="4" t="s">
        <v>35</v>
      </c>
      <c r="D278" s="2">
        <v>2.0</v>
      </c>
      <c r="E278" s="5">
        <v>45805.0</v>
      </c>
      <c r="F278" s="2" t="str">
        <f>VLOOKUP(B278,Customers!A:B,2,FALSE)</f>
        <v>Rahul mann</v>
      </c>
      <c r="G278" s="2" t="str">
        <f>VLOOKUP(C278,Products!A:B,2,FALSE)</f>
        <v>Smartwatch</v>
      </c>
      <c r="H278" s="2" t="str">
        <f>VLOOKUP(C278,Products!A:C,3,FALSE)</f>
        <v>Electronics</v>
      </c>
      <c r="I278" s="2">
        <f>VLOOKUP(C278,Products!A:D,4,FALSE)</f>
        <v>49383</v>
      </c>
      <c r="J278" s="2">
        <f t="shared" si="1"/>
        <v>98766</v>
      </c>
    </row>
    <row r="279">
      <c r="A279" s="2" t="s">
        <v>357</v>
      </c>
      <c r="B279" s="3" t="s">
        <v>131</v>
      </c>
      <c r="C279" s="4" t="s">
        <v>12</v>
      </c>
      <c r="D279" s="2">
        <v>5.0</v>
      </c>
      <c r="E279" s="5">
        <v>45829.0</v>
      </c>
      <c r="F279" s="2" t="str">
        <f>VLOOKUP(B279,Customers!A:B,2,FALSE)</f>
        <v>John Smith</v>
      </c>
      <c r="G279" s="2" t="str">
        <f>VLOOKUP(C279,Products!A:B,2,FALSE)</f>
        <v>Laptop</v>
      </c>
      <c r="H279" s="2" t="str">
        <f>VLOOKUP(C279,Products!A:C,3,FALSE)</f>
        <v>Electronics</v>
      </c>
      <c r="I279" s="2">
        <f>VLOOKUP(C279,Products!A:D,4,FALSE)</f>
        <v>62520</v>
      </c>
      <c r="J279" s="2">
        <f t="shared" si="1"/>
        <v>312600</v>
      </c>
    </row>
    <row r="280">
      <c r="A280" s="2" t="s">
        <v>358</v>
      </c>
      <c r="B280" s="3" t="s">
        <v>122</v>
      </c>
      <c r="C280" s="4" t="s">
        <v>40</v>
      </c>
      <c r="D280" s="2">
        <v>4.0</v>
      </c>
      <c r="E280" s="5">
        <v>45769.0</v>
      </c>
      <c r="F280" s="2" t="str">
        <f>VLOOKUP(B280,Customers!A:B,2,FALSE)</f>
        <v>Aisha Malhotra</v>
      </c>
      <c r="G280" s="2" t="str">
        <f>VLOOKUP(C280,Products!A:B,2,FALSE)</f>
        <v>Phone</v>
      </c>
      <c r="H280" s="2" t="str">
        <f>VLOOKUP(C280,Products!A:C,3,FALSE)</f>
        <v>Electronics</v>
      </c>
      <c r="I280" s="2">
        <f>VLOOKUP(C280,Products!A:D,4,FALSE)</f>
        <v>50972</v>
      </c>
      <c r="J280" s="2">
        <f t="shared" si="1"/>
        <v>203888</v>
      </c>
    </row>
    <row r="281">
      <c r="A281" s="2" t="s">
        <v>359</v>
      </c>
      <c r="B281" s="3" t="s">
        <v>14</v>
      </c>
      <c r="C281" s="4" t="s">
        <v>104</v>
      </c>
      <c r="D281" s="2">
        <v>1.0</v>
      </c>
      <c r="E281" s="5">
        <v>45717.0</v>
      </c>
      <c r="F281" s="2" t="str">
        <f>VLOOKUP(B281,Customers!A:B,2,FALSE)</f>
        <v>Priya Verma</v>
      </c>
      <c r="G281" s="2" t="str">
        <f>VLOOKUP(C281,Products!A:B,2,FALSE)</f>
        <v>Tablet</v>
      </c>
      <c r="H281" s="2" t="str">
        <f>VLOOKUP(C281,Products!A:C,3,FALSE)</f>
        <v>Electronics</v>
      </c>
      <c r="I281" s="2">
        <f>VLOOKUP(C281,Products!A:D,4,FALSE)</f>
        <v>61889</v>
      </c>
      <c r="J281" s="2">
        <f t="shared" si="1"/>
        <v>61889</v>
      </c>
    </row>
    <row r="282">
      <c r="A282" s="2" t="s">
        <v>360</v>
      </c>
      <c r="B282" s="3" t="s">
        <v>181</v>
      </c>
      <c r="C282" s="4" t="s">
        <v>24</v>
      </c>
      <c r="D282" s="2">
        <v>1.0</v>
      </c>
      <c r="E282" s="5">
        <v>45747.0</v>
      </c>
      <c r="F282" s="2" t="str">
        <f>VLOOKUP(B282,Customers!A:B,2,FALSE)</f>
        <v>Neha Kumari</v>
      </c>
      <c r="G282" s="2" t="str">
        <f>VLOOKUP(C282,Products!A:B,2,FALSE)</f>
        <v>Keyboard</v>
      </c>
      <c r="H282" s="2" t="str">
        <f>VLOOKUP(C282,Products!A:C,3,FALSE)</f>
        <v>Accessories</v>
      </c>
      <c r="I282" s="2">
        <f>VLOOKUP(C282,Products!A:D,4,FALSE)</f>
        <v>2426</v>
      </c>
      <c r="J282" s="2">
        <f t="shared" si="1"/>
        <v>2426</v>
      </c>
    </row>
    <row r="283">
      <c r="A283" s="2" t="s">
        <v>361</v>
      </c>
      <c r="B283" s="3" t="s">
        <v>93</v>
      </c>
      <c r="C283" s="4" t="s">
        <v>55</v>
      </c>
      <c r="D283" s="2">
        <v>4.0</v>
      </c>
      <c r="E283" s="5">
        <v>45798.0</v>
      </c>
      <c r="F283" s="2" t="str">
        <f>VLOOKUP(B283,Customers!A:B,2,FALSE)</f>
        <v>Meera</v>
      </c>
      <c r="G283" s="2" t="str">
        <f>VLOOKUP(C283,Products!A:B,2,FALSE)</f>
        <v>Speaker</v>
      </c>
      <c r="H283" s="2" t="str">
        <f>VLOOKUP(C283,Products!A:C,3,FALSE)</f>
        <v>Accessories</v>
      </c>
      <c r="I283" s="2">
        <f>VLOOKUP(C283,Products!A:D,4,FALSE)</f>
        <v>3408</v>
      </c>
      <c r="J283" s="2">
        <f t="shared" si="1"/>
        <v>13632</v>
      </c>
    </row>
    <row r="284">
      <c r="A284" s="2" t="s">
        <v>362</v>
      </c>
      <c r="B284" s="3" t="s">
        <v>122</v>
      </c>
      <c r="C284" s="4" t="s">
        <v>24</v>
      </c>
      <c r="D284" s="2">
        <v>3.0</v>
      </c>
      <c r="E284" s="5">
        <v>45818.0</v>
      </c>
      <c r="F284" s="2" t="str">
        <f>VLOOKUP(B284,Customers!A:B,2,FALSE)</f>
        <v>Aisha Malhotra</v>
      </c>
      <c r="G284" s="2" t="str">
        <f>VLOOKUP(C284,Products!A:B,2,FALSE)</f>
        <v>Keyboard</v>
      </c>
      <c r="H284" s="2" t="str">
        <f>VLOOKUP(C284,Products!A:C,3,FALSE)</f>
        <v>Accessories</v>
      </c>
      <c r="I284" s="2">
        <f>VLOOKUP(C284,Products!A:D,4,FALSE)</f>
        <v>2426</v>
      </c>
      <c r="J284" s="2">
        <f t="shared" si="1"/>
        <v>7278</v>
      </c>
    </row>
    <row r="285">
      <c r="A285" s="2" t="s">
        <v>363</v>
      </c>
      <c r="B285" s="3" t="s">
        <v>176</v>
      </c>
      <c r="C285" s="4" t="s">
        <v>31</v>
      </c>
      <c r="D285" s="2">
        <v>3.0</v>
      </c>
      <c r="E285" s="5">
        <v>45778.0</v>
      </c>
      <c r="F285" s="2" t="str">
        <f>VLOOKUP(B285,Customers!A:B,2,FALSE)</f>
        <v>Priya Verma</v>
      </c>
      <c r="G285" s="2" t="str">
        <f>VLOOKUP(C285,Products!A:B,2,FALSE)</f>
        <v>Monitor</v>
      </c>
      <c r="H285" s="2" t="str">
        <f>VLOOKUP(C285,Products!A:C,3,FALSE)</f>
        <v>Electronics</v>
      </c>
      <c r="I285" s="2">
        <f>VLOOKUP(C285,Products!A:D,4,FALSE)</f>
        <v>63079</v>
      </c>
      <c r="J285" s="2">
        <f t="shared" si="1"/>
        <v>189237</v>
      </c>
    </row>
    <row r="286">
      <c r="A286" s="2" t="s">
        <v>364</v>
      </c>
      <c r="B286" s="3" t="s">
        <v>176</v>
      </c>
      <c r="C286" s="4" t="s">
        <v>75</v>
      </c>
      <c r="D286" s="2">
        <v>1.0</v>
      </c>
      <c r="E286" s="5">
        <v>45684.0</v>
      </c>
      <c r="F286" s="2" t="str">
        <f>VLOOKUP(B286,Customers!A:B,2,FALSE)</f>
        <v>Priya Verma</v>
      </c>
      <c r="G286" s="2" t="str">
        <f>VLOOKUP(C286,Products!A:B,2,FALSE)</f>
        <v>Smartwatch</v>
      </c>
      <c r="H286" s="2" t="str">
        <f>VLOOKUP(C286,Products!A:C,3,FALSE)</f>
        <v>Electronics</v>
      </c>
      <c r="I286" s="2">
        <f>VLOOKUP(C286,Products!A:D,4,FALSE)</f>
        <v>61749</v>
      </c>
      <c r="J286" s="2">
        <f t="shared" si="1"/>
        <v>61749</v>
      </c>
    </row>
    <row r="287">
      <c r="A287" s="2" t="s">
        <v>365</v>
      </c>
      <c r="B287" s="3" t="s">
        <v>79</v>
      </c>
      <c r="C287" s="4" t="s">
        <v>57</v>
      </c>
      <c r="D287" s="2">
        <v>2.0</v>
      </c>
      <c r="E287" s="5">
        <v>45690.0</v>
      </c>
      <c r="F287" s="2" t="str">
        <f>VLOOKUP(B287,Customers!A:B,2,FALSE)</f>
        <v>Priya Verma</v>
      </c>
      <c r="G287" s="2" t="str">
        <f>VLOOKUP(C287,Products!A:B,2,FALSE)</f>
        <v>Smartwatch</v>
      </c>
      <c r="H287" s="2" t="str">
        <f>VLOOKUP(C287,Products!A:C,3,FALSE)</f>
        <v>Electronics</v>
      </c>
      <c r="I287" s="2">
        <f>VLOOKUP(C287,Products!A:D,4,FALSE)</f>
        <v>20151</v>
      </c>
      <c r="J287" s="2">
        <f t="shared" si="1"/>
        <v>40302</v>
      </c>
    </row>
    <row r="288">
      <c r="A288" s="2" t="s">
        <v>366</v>
      </c>
      <c r="B288" s="3" t="s">
        <v>33</v>
      </c>
      <c r="C288" s="4" t="s">
        <v>65</v>
      </c>
      <c r="D288" s="2">
        <v>3.0</v>
      </c>
      <c r="E288" s="5">
        <v>45715.0</v>
      </c>
      <c r="F288" s="2" t="str">
        <f>VLOOKUP(B288,Customers!A:B,2,FALSE)</f>
        <v>Vikram Roy</v>
      </c>
      <c r="G288" s="2" t="str">
        <f>VLOOKUP(C288,Products!A:B,2,FALSE)</f>
        <v>Mouse</v>
      </c>
      <c r="H288" s="2" t="str">
        <f>VLOOKUP(C288,Products!A:C,3,FALSE)</f>
        <v>Accessories</v>
      </c>
      <c r="I288" s="2">
        <f>VLOOKUP(C288,Products!A:D,4,FALSE)</f>
        <v>2899</v>
      </c>
      <c r="J288" s="2">
        <f t="shared" si="1"/>
        <v>8697</v>
      </c>
    </row>
    <row r="289">
      <c r="A289" s="2" t="s">
        <v>367</v>
      </c>
      <c r="B289" s="3" t="s">
        <v>33</v>
      </c>
      <c r="C289" s="4" t="s">
        <v>12</v>
      </c>
      <c r="D289" s="2">
        <v>3.0</v>
      </c>
      <c r="E289" s="5">
        <v>45763.0</v>
      </c>
      <c r="F289" s="2" t="str">
        <f>VLOOKUP(B289,Customers!A:B,2,FALSE)</f>
        <v>Vikram Roy</v>
      </c>
      <c r="G289" s="2" t="str">
        <f>VLOOKUP(C289,Products!A:B,2,FALSE)</f>
        <v>Laptop</v>
      </c>
      <c r="H289" s="2" t="str">
        <f>VLOOKUP(C289,Products!A:C,3,FALSE)</f>
        <v>Electronics</v>
      </c>
      <c r="I289" s="2">
        <f>VLOOKUP(C289,Products!A:D,4,FALSE)</f>
        <v>62520</v>
      </c>
      <c r="J289" s="2">
        <f t="shared" si="1"/>
        <v>187560</v>
      </c>
    </row>
    <row r="290">
      <c r="A290" s="2" t="s">
        <v>368</v>
      </c>
      <c r="B290" s="3" t="s">
        <v>67</v>
      </c>
      <c r="C290" s="4" t="s">
        <v>65</v>
      </c>
      <c r="D290" s="2">
        <v>2.0</v>
      </c>
      <c r="E290" s="5">
        <v>45695.0</v>
      </c>
      <c r="F290" s="2" t="str">
        <f>VLOOKUP(B290,Customers!A:B,2,FALSE)</f>
        <v>Sara Khan </v>
      </c>
      <c r="G290" s="2" t="str">
        <f>VLOOKUP(C290,Products!A:B,2,FALSE)</f>
        <v>Mouse</v>
      </c>
      <c r="H290" s="2" t="str">
        <f>VLOOKUP(C290,Products!A:C,3,FALSE)</f>
        <v>Accessories</v>
      </c>
      <c r="I290" s="2">
        <f>VLOOKUP(C290,Products!A:D,4,FALSE)</f>
        <v>2899</v>
      </c>
      <c r="J290" s="2">
        <f t="shared" si="1"/>
        <v>5798</v>
      </c>
    </row>
    <row r="291">
      <c r="A291" s="2" t="s">
        <v>369</v>
      </c>
      <c r="B291" s="3" t="s">
        <v>140</v>
      </c>
      <c r="C291" s="4" t="s">
        <v>43</v>
      </c>
      <c r="D291" s="2">
        <v>4.0</v>
      </c>
      <c r="E291" s="5">
        <v>45824.0</v>
      </c>
      <c r="F291" s="2" t="str">
        <f>VLOOKUP(B291,Customers!A:B,2,FALSE)</f>
        <v>Arjun Sharma</v>
      </c>
      <c r="G291" s="2" t="str">
        <f>VLOOKUP(C291,Products!A:B,2,FALSE)</f>
        <v>Headphones</v>
      </c>
      <c r="H291" s="2" t="str">
        <f>VLOOKUP(C291,Products!A:C,3,FALSE)</f>
        <v>Accessories</v>
      </c>
      <c r="I291" s="2">
        <f>VLOOKUP(C291,Products!A:D,4,FALSE)</f>
        <v>1821</v>
      </c>
      <c r="J291" s="2">
        <f t="shared" si="1"/>
        <v>7284</v>
      </c>
    </row>
    <row r="292">
      <c r="A292" s="2" t="s">
        <v>370</v>
      </c>
      <c r="B292" s="3" t="s">
        <v>108</v>
      </c>
      <c r="C292" s="4" t="s">
        <v>35</v>
      </c>
      <c r="D292" s="2">
        <v>5.0</v>
      </c>
      <c r="E292" s="5">
        <v>45786.0</v>
      </c>
      <c r="F292" s="2" t="str">
        <f>VLOOKUP(B292,Customers!A:B,2,FALSE)</f>
        <v>Aisha Malhotra</v>
      </c>
      <c r="G292" s="2" t="str">
        <f>VLOOKUP(C292,Products!A:B,2,FALSE)</f>
        <v>Smartwatch</v>
      </c>
      <c r="H292" s="2" t="str">
        <f>VLOOKUP(C292,Products!A:C,3,FALSE)</f>
        <v>Electronics</v>
      </c>
      <c r="I292" s="2">
        <f>VLOOKUP(C292,Products!A:D,4,FALSE)</f>
        <v>49383</v>
      </c>
      <c r="J292" s="2">
        <f t="shared" si="1"/>
        <v>246915</v>
      </c>
    </row>
    <row r="293">
      <c r="A293" s="2" t="s">
        <v>371</v>
      </c>
      <c r="B293" s="3" t="s">
        <v>79</v>
      </c>
      <c r="C293" s="4" t="s">
        <v>24</v>
      </c>
      <c r="D293" s="2">
        <v>5.0</v>
      </c>
      <c r="E293" s="5">
        <v>45719.0</v>
      </c>
      <c r="F293" s="2" t="str">
        <f>VLOOKUP(B293,Customers!A:B,2,FALSE)</f>
        <v>Priya Verma</v>
      </c>
      <c r="G293" s="2" t="str">
        <f>VLOOKUP(C293,Products!A:B,2,FALSE)</f>
        <v>Keyboard</v>
      </c>
      <c r="H293" s="2" t="str">
        <f>VLOOKUP(C293,Products!A:C,3,FALSE)</f>
        <v>Accessories</v>
      </c>
      <c r="I293" s="2">
        <f>VLOOKUP(C293,Products!A:D,4,FALSE)</f>
        <v>2426</v>
      </c>
      <c r="J293" s="2">
        <f t="shared" si="1"/>
        <v>12130</v>
      </c>
    </row>
    <row r="294">
      <c r="A294" s="2" t="s">
        <v>372</v>
      </c>
      <c r="B294" s="3" t="s">
        <v>143</v>
      </c>
      <c r="C294" s="4" t="s">
        <v>18</v>
      </c>
      <c r="D294" s="2">
        <v>3.0</v>
      </c>
      <c r="E294" s="5">
        <v>45751.0</v>
      </c>
      <c r="F294" s="2" t="str">
        <f>VLOOKUP(B294,Customers!A:B,2,FALSE)</f>
        <v>Rahul mann</v>
      </c>
      <c r="G294" s="2" t="str">
        <f>VLOOKUP(C294,Products!A:B,2,FALSE)</f>
        <v>Headphones</v>
      </c>
      <c r="H294" s="2" t="str">
        <f>VLOOKUP(C294,Products!A:C,3,FALSE)</f>
        <v>Accessories</v>
      </c>
      <c r="I294" s="2">
        <f>VLOOKUP(C294,Products!A:D,4,FALSE)</f>
        <v>2760</v>
      </c>
      <c r="J294" s="2">
        <f t="shared" si="1"/>
        <v>8280</v>
      </c>
    </row>
    <row r="295">
      <c r="A295" s="2" t="s">
        <v>373</v>
      </c>
      <c r="B295" s="3" t="s">
        <v>176</v>
      </c>
      <c r="C295" s="4" t="s">
        <v>35</v>
      </c>
      <c r="D295" s="2">
        <v>4.0</v>
      </c>
      <c r="E295" s="5">
        <v>45666.0</v>
      </c>
      <c r="F295" s="2" t="str">
        <f>VLOOKUP(B295,Customers!A:B,2,FALSE)</f>
        <v>Priya Verma</v>
      </c>
      <c r="G295" s="2" t="str">
        <f>VLOOKUP(C295,Products!A:B,2,FALSE)</f>
        <v>Smartwatch</v>
      </c>
      <c r="H295" s="2" t="str">
        <f>VLOOKUP(C295,Products!A:C,3,FALSE)</f>
        <v>Electronics</v>
      </c>
      <c r="I295" s="2">
        <f>VLOOKUP(C295,Products!A:D,4,FALSE)</f>
        <v>49383</v>
      </c>
      <c r="J295" s="2">
        <f t="shared" si="1"/>
        <v>197532</v>
      </c>
    </row>
    <row r="296">
      <c r="A296" s="2" t="s">
        <v>374</v>
      </c>
      <c r="B296" s="3" t="s">
        <v>110</v>
      </c>
      <c r="C296" s="4" t="s">
        <v>55</v>
      </c>
      <c r="D296" s="2">
        <v>4.0</v>
      </c>
      <c r="E296" s="5">
        <v>45701.0</v>
      </c>
      <c r="F296" s="2" t="str">
        <f>VLOOKUP(B296,Customers!A:B,2,FALSE)</f>
        <v>Vikram Roy</v>
      </c>
      <c r="G296" s="2" t="str">
        <f>VLOOKUP(C296,Products!A:B,2,FALSE)</f>
        <v>Speaker</v>
      </c>
      <c r="H296" s="2" t="str">
        <f>VLOOKUP(C296,Products!A:C,3,FALSE)</f>
        <v>Accessories</v>
      </c>
      <c r="I296" s="2">
        <f>VLOOKUP(C296,Products!A:D,4,FALSE)</f>
        <v>3408</v>
      </c>
      <c r="J296" s="2">
        <f t="shared" si="1"/>
        <v>13632</v>
      </c>
    </row>
    <row r="297">
      <c r="A297" s="2" t="s">
        <v>375</v>
      </c>
      <c r="B297" s="3" t="s">
        <v>67</v>
      </c>
      <c r="C297" s="4" t="s">
        <v>80</v>
      </c>
      <c r="D297" s="2">
        <v>2.0</v>
      </c>
      <c r="E297" s="5">
        <v>45829.0</v>
      </c>
      <c r="F297" s="2" t="str">
        <f>VLOOKUP(B297,Customers!A:B,2,FALSE)</f>
        <v>Sara Khan </v>
      </c>
      <c r="G297" s="2" t="str">
        <f>VLOOKUP(C297,Products!A:B,2,FALSE)</f>
        <v>Phone</v>
      </c>
      <c r="H297" s="2" t="str">
        <f>VLOOKUP(C297,Products!A:C,3,FALSE)</f>
        <v>Electronics</v>
      </c>
      <c r="I297" s="2">
        <f>VLOOKUP(C297,Products!A:D,4,FALSE)</f>
        <v>21434</v>
      </c>
      <c r="J297" s="2">
        <f t="shared" si="1"/>
        <v>42868</v>
      </c>
    </row>
    <row r="298">
      <c r="A298" s="2" t="s">
        <v>376</v>
      </c>
      <c r="B298" s="3" t="s">
        <v>137</v>
      </c>
      <c r="C298" s="4" t="s">
        <v>80</v>
      </c>
      <c r="D298" s="2">
        <v>4.0</v>
      </c>
      <c r="E298" s="5">
        <v>45721.0</v>
      </c>
      <c r="F298" s="2" t="str">
        <f>VLOOKUP(B298,Customers!A:B,2,FALSE)</f>
        <v>Vikram Roy</v>
      </c>
      <c r="G298" s="2" t="str">
        <f>VLOOKUP(C298,Products!A:B,2,FALSE)</f>
        <v>Phone</v>
      </c>
      <c r="H298" s="2" t="str">
        <f>VLOOKUP(C298,Products!A:C,3,FALSE)</f>
        <v>Electronics</v>
      </c>
      <c r="I298" s="2">
        <f>VLOOKUP(C298,Products!A:D,4,FALSE)</f>
        <v>21434</v>
      </c>
      <c r="J298" s="2">
        <f t="shared" si="1"/>
        <v>85736</v>
      </c>
    </row>
    <row r="299">
      <c r="A299" s="2" t="s">
        <v>377</v>
      </c>
      <c r="B299" s="3" t="s">
        <v>83</v>
      </c>
      <c r="C299" s="4" t="s">
        <v>151</v>
      </c>
      <c r="D299" s="2">
        <v>1.0</v>
      </c>
      <c r="E299" s="5">
        <v>45667.0</v>
      </c>
      <c r="F299" s="2" t="str">
        <f>VLOOKUP(B299,Customers!A:B,2,FALSE)</f>
        <v>John Smith</v>
      </c>
      <c r="G299" s="2" t="str">
        <f>VLOOKUP(C299,Products!A:B,2,FALSE)</f>
        <v>Speaker</v>
      </c>
      <c r="H299" s="2" t="str">
        <f>VLOOKUP(C299,Products!A:C,3,FALSE)</f>
        <v>Accessories</v>
      </c>
      <c r="I299" s="2">
        <f>VLOOKUP(C299,Products!A:D,4,FALSE)</f>
        <v>3985</v>
      </c>
      <c r="J299" s="2">
        <f t="shared" si="1"/>
        <v>3985</v>
      </c>
    </row>
    <row r="300">
      <c r="A300" s="2" t="s">
        <v>378</v>
      </c>
      <c r="B300" s="3" t="s">
        <v>83</v>
      </c>
      <c r="C300" s="4" t="s">
        <v>18</v>
      </c>
      <c r="D300" s="2">
        <v>1.0</v>
      </c>
      <c r="E300" s="5">
        <v>45838.0</v>
      </c>
      <c r="F300" s="2" t="str">
        <f>VLOOKUP(B300,Customers!A:B,2,FALSE)</f>
        <v>John Smith</v>
      </c>
      <c r="G300" s="2" t="str">
        <f>VLOOKUP(C300,Products!A:B,2,FALSE)</f>
        <v>Headphones</v>
      </c>
      <c r="H300" s="2" t="str">
        <f>VLOOKUP(C300,Products!A:C,3,FALSE)</f>
        <v>Accessories</v>
      </c>
      <c r="I300" s="2">
        <f>VLOOKUP(C300,Products!A:D,4,FALSE)</f>
        <v>2760</v>
      </c>
      <c r="J300" s="2">
        <f t="shared" si="1"/>
        <v>2760</v>
      </c>
    </row>
    <row r="301">
      <c r="A301" s="2" t="s">
        <v>379</v>
      </c>
      <c r="B301" s="3" t="s">
        <v>349</v>
      </c>
      <c r="C301" s="4" t="s">
        <v>70</v>
      </c>
      <c r="D301" s="2">
        <v>5.0</v>
      </c>
      <c r="E301" s="5">
        <v>45803.0</v>
      </c>
      <c r="F301" s="2" t="str">
        <f>VLOOKUP(B301,Customers!A:B,2,FALSE)</f>
        <v>Meera</v>
      </c>
      <c r="G301" s="2" t="str">
        <f>VLOOKUP(C301,Products!A:B,2,FALSE)</f>
        <v>Tablet</v>
      </c>
      <c r="H301" s="2" t="str">
        <f>VLOOKUP(C301,Products!A:C,3,FALSE)</f>
        <v>Electronics</v>
      </c>
      <c r="I301" s="2">
        <f>VLOOKUP(C301,Products!A:D,4,FALSE)</f>
        <v>45245</v>
      </c>
      <c r="J301" s="2">
        <f t="shared" si="1"/>
        <v>226225</v>
      </c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" t="s">
        <v>1</v>
      </c>
      <c r="B1" s="1" t="s">
        <v>5</v>
      </c>
      <c r="Z1" s="6" t="s">
        <v>380</v>
      </c>
    </row>
    <row r="2">
      <c r="A2" s="3" t="s">
        <v>11</v>
      </c>
      <c r="B2" s="2" t="s">
        <v>380</v>
      </c>
      <c r="Z2" s="6" t="s">
        <v>381</v>
      </c>
    </row>
    <row r="3">
      <c r="A3" s="3" t="s">
        <v>14</v>
      </c>
      <c r="B3" s="2" t="s">
        <v>381</v>
      </c>
      <c r="Z3" s="6" t="s">
        <v>382</v>
      </c>
    </row>
    <row r="4">
      <c r="A4" s="3" t="s">
        <v>17</v>
      </c>
      <c r="B4" s="2" t="s">
        <v>382</v>
      </c>
      <c r="Z4" s="6" t="s">
        <v>383</v>
      </c>
    </row>
    <row r="5">
      <c r="A5" s="3" t="s">
        <v>20</v>
      </c>
      <c r="B5" s="2" t="s">
        <v>383</v>
      </c>
      <c r="Z5" s="6" t="s">
        <v>384</v>
      </c>
    </row>
    <row r="6">
      <c r="A6" s="3" t="s">
        <v>23</v>
      </c>
      <c r="B6" s="2" t="s">
        <v>384</v>
      </c>
      <c r="Z6" s="6" t="s">
        <v>385</v>
      </c>
    </row>
    <row r="7">
      <c r="A7" s="3" t="s">
        <v>26</v>
      </c>
      <c r="B7" s="2" t="s">
        <v>385</v>
      </c>
      <c r="Z7" s="6" t="s">
        <v>386</v>
      </c>
    </row>
    <row r="8">
      <c r="A8" s="3" t="s">
        <v>28</v>
      </c>
      <c r="B8" s="2" t="s">
        <v>386</v>
      </c>
      <c r="Z8" s="6" t="s">
        <v>387</v>
      </c>
    </row>
    <row r="9">
      <c r="A9" s="3" t="s">
        <v>26</v>
      </c>
      <c r="B9" s="2" t="s">
        <v>387</v>
      </c>
      <c r="Z9" s="3" t="s">
        <v>388</v>
      </c>
    </row>
    <row r="10">
      <c r="A10" s="3" t="s">
        <v>33</v>
      </c>
      <c r="B10" s="2" t="s">
        <v>388</v>
      </c>
      <c r="Z10" s="3" t="s">
        <v>389</v>
      </c>
    </row>
    <row r="11">
      <c r="A11" s="3" t="s">
        <v>20</v>
      </c>
      <c r="B11" s="2" t="s">
        <v>389</v>
      </c>
    </row>
    <row r="12">
      <c r="A12" s="3" t="s">
        <v>37</v>
      </c>
      <c r="B12" s="2" t="s">
        <v>380</v>
      </c>
    </row>
    <row r="13">
      <c r="A13" s="3" t="s">
        <v>39</v>
      </c>
      <c r="B13" s="2" t="s">
        <v>381</v>
      </c>
    </row>
    <row r="14">
      <c r="A14" s="3" t="s">
        <v>42</v>
      </c>
      <c r="B14" s="2" t="s">
        <v>382</v>
      </c>
    </row>
    <row r="15">
      <c r="A15" s="3" t="s">
        <v>28</v>
      </c>
      <c r="B15" s="2" t="s">
        <v>383</v>
      </c>
    </row>
    <row r="16">
      <c r="A16" s="3" t="s">
        <v>46</v>
      </c>
      <c r="B16" s="2" t="s">
        <v>384</v>
      </c>
    </row>
    <row r="17">
      <c r="A17" s="3" t="s">
        <v>48</v>
      </c>
      <c r="B17" s="2" t="s">
        <v>385</v>
      </c>
    </row>
    <row r="18">
      <c r="A18" s="3" t="s">
        <v>51</v>
      </c>
      <c r="B18" s="2" t="s">
        <v>386</v>
      </c>
    </row>
    <row r="19">
      <c r="A19" s="3" t="s">
        <v>53</v>
      </c>
      <c r="B19" s="2" t="s">
        <v>387</v>
      </c>
    </row>
    <row r="20">
      <c r="A20" s="3" t="s">
        <v>37</v>
      </c>
      <c r="B20" s="2" t="s">
        <v>388</v>
      </c>
    </row>
    <row r="21">
      <c r="A21" s="3" t="s">
        <v>33</v>
      </c>
      <c r="B21" s="2" t="s">
        <v>389</v>
      </c>
    </row>
    <row r="22">
      <c r="A22" s="3" t="s">
        <v>26</v>
      </c>
      <c r="B22" s="2" t="s">
        <v>380</v>
      </c>
    </row>
    <row r="23">
      <c r="A23" s="3" t="s">
        <v>60</v>
      </c>
      <c r="B23" s="2" t="s">
        <v>381</v>
      </c>
    </row>
    <row r="24">
      <c r="A24" s="3" t="s">
        <v>62</v>
      </c>
      <c r="B24" s="2" t="s">
        <v>382</v>
      </c>
    </row>
    <row r="25">
      <c r="A25" s="3" t="s">
        <v>64</v>
      </c>
      <c r="B25" s="2" t="s">
        <v>383</v>
      </c>
    </row>
    <row r="26">
      <c r="A26" s="3" t="s">
        <v>67</v>
      </c>
      <c r="B26" s="2" t="s">
        <v>384</v>
      </c>
    </row>
    <row r="27">
      <c r="A27" s="3" t="s">
        <v>69</v>
      </c>
      <c r="B27" s="2" t="s">
        <v>385</v>
      </c>
    </row>
    <row r="28">
      <c r="A28" s="3" t="s">
        <v>23</v>
      </c>
      <c r="B28" s="2" t="s">
        <v>386</v>
      </c>
    </row>
    <row r="29">
      <c r="A29" s="3" t="s">
        <v>46</v>
      </c>
      <c r="B29" s="2" t="s">
        <v>387</v>
      </c>
    </row>
    <row r="30">
      <c r="A30" s="3" t="s">
        <v>26</v>
      </c>
      <c r="B30" s="2" t="s">
        <v>388</v>
      </c>
    </row>
    <row r="31">
      <c r="A31" s="3" t="s">
        <v>46</v>
      </c>
      <c r="B31" s="2" t="s">
        <v>389</v>
      </c>
    </row>
    <row r="32">
      <c r="A32" s="3" t="s">
        <v>77</v>
      </c>
      <c r="B32" s="2" t="s">
        <v>380</v>
      </c>
    </row>
    <row r="33">
      <c r="A33" s="3" t="s">
        <v>79</v>
      </c>
      <c r="B33" s="2" t="s">
        <v>381</v>
      </c>
    </row>
    <row r="34">
      <c r="A34" s="3" t="s">
        <v>69</v>
      </c>
      <c r="B34" s="2" t="s">
        <v>382</v>
      </c>
    </row>
    <row r="35">
      <c r="A35" s="3" t="s">
        <v>83</v>
      </c>
      <c r="B35" s="2" t="s">
        <v>383</v>
      </c>
    </row>
    <row r="36">
      <c r="A36" s="3" t="s">
        <v>62</v>
      </c>
      <c r="B36" s="2" t="s">
        <v>384</v>
      </c>
    </row>
    <row r="37">
      <c r="A37" s="3" t="s">
        <v>86</v>
      </c>
      <c r="B37" s="2" t="s">
        <v>385</v>
      </c>
    </row>
    <row r="38">
      <c r="A38" s="3" t="s">
        <v>37</v>
      </c>
      <c r="B38" s="2" t="s">
        <v>386</v>
      </c>
    </row>
    <row r="39">
      <c r="A39" s="3" t="s">
        <v>90</v>
      </c>
      <c r="B39" s="2" t="s">
        <v>387</v>
      </c>
    </row>
    <row r="40">
      <c r="A40" s="3" t="s">
        <v>37</v>
      </c>
      <c r="B40" s="2" t="s">
        <v>388</v>
      </c>
    </row>
    <row r="41">
      <c r="A41" s="3" t="s">
        <v>93</v>
      </c>
      <c r="B41" s="2" t="s">
        <v>389</v>
      </c>
    </row>
    <row r="42">
      <c r="A42" s="3" t="s">
        <v>95</v>
      </c>
      <c r="B42" s="2" t="s">
        <v>380</v>
      </c>
    </row>
    <row r="43">
      <c r="A43" s="3" t="s">
        <v>69</v>
      </c>
      <c r="B43" s="2" t="s">
        <v>381</v>
      </c>
    </row>
    <row r="44">
      <c r="A44" s="3" t="s">
        <v>98</v>
      </c>
      <c r="B44" s="2" t="s">
        <v>382</v>
      </c>
    </row>
    <row r="45">
      <c r="A45" s="3" t="s">
        <v>100</v>
      </c>
      <c r="B45" s="2" t="s">
        <v>383</v>
      </c>
    </row>
    <row r="46">
      <c r="A46" s="3" t="s">
        <v>102</v>
      </c>
      <c r="B46" s="2" t="s">
        <v>384</v>
      </c>
    </row>
    <row r="47">
      <c r="A47" s="3" t="s">
        <v>86</v>
      </c>
      <c r="B47" s="2" t="s">
        <v>385</v>
      </c>
    </row>
    <row r="48">
      <c r="A48" s="3" t="s">
        <v>106</v>
      </c>
      <c r="B48" s="2" t="s">
        <v>386</v>
      </c>
    </row>
    <row r="49">
      <c r="A49" s="3" t="s">
        <v>108</v>
      </c>
      <c r="B49" s="2" t="s">
        <v>387</v>
      </c>
    </row>
    <row r="50">
      <c r="A50" s="3" t="s">
        <v>110</v>
      </c>
      <c r="B50" s="2" t="s">
        <v>388</v>
      </c>
    </row>
    <row r="51">
      <c r="A51" s="3" t="s">
        <v>23</v>
      </c>
      <c r="B51" s="2" t="s">
        <v>389</v>
      </c>
    </row>
    <row r="52">
      <c r="A52" s="3" t="s">
        <v>106</v>
      </c>
      <c r="B52" s="2" t="s">
        <v>380</v>
      </c>
    </row>
    <row r="53">
      <c r="A53" s="3" t="s">
        <v>114</v>
      </c>
      <c r="B53" s="2" t="s">
        <v>381</v>
      </c>
    </row>
    <row r="54">
      <c r="A54" s="3" t="s">
        <v>64</v>
      </c>
      <c r="B54" s="2" t="s">
        <v>382</v>
      </c>
    </row>
    <row r="55">
      <c r="A55" s="3" t="s">
        <v>33</v>
      </c>
      <c r="B55" s="2" t="s">
        <v>383</v>
      </c>
    </row>
    <row r="56">
      <c r="A56" s="3" t="s">
        <v>118</v>
      </c>
      <c r="B56" s="2" t="s">
        <v>384</v>
      </c>
    </row>
    <row r="57">
      <c r="A57" s="3" t="s">
        <v>17</v>
      </c>
      <c r="B57" s="2" t="s">
        <v>385</v>
      </c>
    </row>
    <row r="58">
      <c r="A58" s="3" t="s">
        <v>11</v>
      </c>
      <c r="B58" s="2" t="s">
        <v>386</v>
      </c>
    </row>
    <row r="59">
      <c r="A59" s="3" t="s">
        <v>122</v>
      </c>
      <c r="B59" s="2" t="s">
        <v>387</v>
      </c>
    </row>
    <row r="60">
      <c r="A60" s="3" t="s">
        <v>124</v>
      </c>
      <c r="B60" s="2" t="s">
        <v>388</v>
      </c>
    </row>
    <row r="61">
      <c r="A61" s="3" t="s">
        <v>126</v>
      </c>
      <c r="B61" s="2" t="s">
        <v>389</v>
      </c>
    </row>
    <row r="62">
      <c r="A62" s="3" t="s">
        <v>106</v>
      </c>
      <c r="B62" s="2" t="s">
        <v>380</v>
      </c>
    </row>
    <row r="63">
      <c r="A63" s="3" t="s">
        <v>126</v>
      </c>
      <c r="B63" s="2" t="s">
        <v>381</v>
      </c>
    </row>
    <row r="64">
      <c r="A64" s="3" t="s">
        <v>33</v>
      </c>
      <c r="B64" s="2" t="s">
        <v>382</v>
      </c>
    </row>
    <row r="65">
      <c r="A65" s="3" t="s">
        <v>131</v>
      </c>
      <c r="B65" s="2" t="s">
        <v>383</v>
      </c>
    </row>
    <row r="66">
      <c r="A66" s="3" t="s">
        <v>28</v>
      </c>
      <c r="B66" s="2" t="s">
        <v>384</v>
      </c>
    </row>
    <row r="67">
      <c r="A67" s="3" t="s">
        <v>62</v>
      </c>
      <c r="B67" s="2" t="s">
        <v>385</v>
      </c>
    </row>
    <row r="68">
      <c r="A68" s="3" t="s">
        <v>48</v>
      </c>
      <c r="B68" s="2" t="s">
        <v>386</v>
      </c>
    </row>
    <row r="69">
      <c r="A69" s="3" t="s">
        <v>69</v>
      </c>
      <c r="B69" s="2" t="s">
        <v>387</v>
      </c>
    </row>
    <row r="70">
      <c r="A70" s="3" t="s">
        <v>137</v>
      </c>
      <c r="B70" s="2" t="s">
        <v>388</v>
      </c>
    </row>
    <row r="71">
      <c r="A71" s="3" t="s">
        <v>114</v>
      </c>
      <c r="B71" s="2" t="s">
        <v>389</v>
      </c>
    </row>
    <row r="72">
      <c r="A72" s="3" t="s">
        <v>140</v>
      </c>
      <c r="B72" s="2" t="s">
        <v>380</v>
      </c>
    </row>
    <row r="73">
      <c r="A73" s="3" t="s">
        <v>100</v>
      </c>
      <c r="B73" s="2" t="s">
        <v>381</v>
      </c>
    </row>
    <row r="74">
      <c r="A74" s="3" t="s">
        <v>143</v>
      </c>
      <c r="B74" s="2" t="s">
        <v>382</v>
      </c>
    </row>
    <row r="75">
      <c r="A75" s="3" t="s">
        <v>33</v>
      </c>
      <c r="B75" s="2" t="s">
        <v>383</v>
      </c>
    </row>
    <row r="76">
      <c r="A76" s="3" t="s">
        <v>39</v>
      </c>
      <c r="B76" s="2" t="s">
        <v>384</v>
      </c>
    </row>
    <row r="77">
      <c r="A77" s="3" t="s">
        <v>51</v>
      </c>
      <c r="B77" s="2" t="s">
        <v>385</v>
      </c>
    </row>
    <row r="78">
      <c r="A78" s="3" t="s">
        <v>148</v>
      </c>
      <c r="B78" s="2" t="s">
        <v>386</v>
      </c>
    </row>
    <row r="79">
      <c r="A79" s="3" t="s">
        <v>39</v>
      </c>
      <c r="B79" s="2" t="s">
        <v>387</v>
      </c>
    </row>
    <row r="80">
      <c r="A80" s="3" t="s">
        <v>14</v>
      </c>
      <c r="B80" s="2" t="s">
        <v>388</v>
      </c>
    </row>
    <row r="81">
      <c r="A81" s="3" t="s">
        <v>86</v>
      </c>
      <c r="B81" s="2" t="s">
        <v>389</v>
      </c>
    </row>
    <row r="82">
      <c r="A82" s="3" t="s">
        <v>20</v>
      </c>
      <c r="B82" s="2" t="s">
        <v>380</v>
      </c>
    </row>
    <row r="83">
      <c r="A83" s="3" t="s">
        <v>93</v>
      </c>
      <c r="B83" s="2" t="s">
        <v>381</v>
      </c>
    </row>
    <row r="84">
      <c r="A84" s="3" t="s">
        <v>95</v>
      </c>
      <c r="B84" s="2" t="s">
        <v>382</v>
      </c>
    </row>
    <row r="85">
      <c r="A85" s="3" t="s">
        <v>69</v>
      </c>
      <c r="B85" s="2" t="s">
        <v>383</v>
      </c>
    </row>
    <row r="86">
      <c r="A86" s="3" t="s">
        <v>118</v>
      </c>
      <c r="B86" s="2" t="s">
        <v>384</v>
      </c>
    </row>
    <row r="87">
      <c r="A87" s="3" t="s">
        <v>14</v>
      </c>
      <c r="B87" s="2" t="s">
        <v>385</v>
      </c>
    </row>
    <row r="88">
      <c r="A88" s="3" t="s">
        <v>53</v>
      </c>
      <c r="B88" s="2" t="s">
        <v>386</v>
      </c>
    </row>
    <row r="89">
      <c r="A89" s="3" t="s">
        <v>39</v>
      </c>
      <c r="B89" s="2" t="s">
        <v>387</v>
      </c>
    </row>
    <row r="90">
      <c r="A90" s="3" t="s">
        <v>140</v>
      </c>
      <c r="B90" s="2" t="s">
        <v>388</v>
      </c>
    </row>
    <row r="91">
      <c r="A91" s="3" t="s">
        <v>93</v>
      </c>
      <c r="B91" s="2" t="s">
        <v>389</v>
      </c>
    </row>
    <row r="92">
      <c r="A92" s="3" t="s">
        <v>26</v>
      </c>
      <c r="B92" s="2" t="s">
        <v>380</v>
      </c>
    </row>
    <row r="93">
      <c r="A93" s="3" t="s">
        <v>69</v>
      </c>
      <c r="B93" s="2" t="s">
        <v>381</v>
      </c>
    </row>
    <row r="94">
      <c r="A94" s="3" t="s">
        <v>166</v>
      </c>
      <c r="B94" s="2" t="s">
        <v>382</v>
      </c>
    </row>
    <row r="95">
      <c r="A95" s="3" t="s">
        <v>131</v>
      </c>
      <c r="B95" s="2" t="s">
        <v>383</v>
      </c>
    </row>
    <row r="96">
      <c r="A96" s="3" t="s">
        <v>93</v>
      </c>
      <c r="B96" s="2" t="s">
        <v>384</v>
      </c>
    </row>
    <row r="97">
      <c r="A97" s="3" t="s">
        <v>79</v>
      </c>
      <c r="B97" s="2" t="s">
        <v>385</v>
      </c>
    </row>
    <row r="98">
      <c r="A98" s="3" t="s">
        <v>17</v>
      </c>
      <c r="B98" s="2" t="s">
        <v>386</v>
      </c>
    </row>
    <row r="99">
      <c r="A99" s="3" t="s">
        <v>46</v>
      </c>
      <c r="B99" s="2" t="s">
        <v>387</v>
      </c>
    </row>
    <row r="100">
      <c r="A100" s="3" t="s">
        <v>20</v>
      </c>
      <c r="B100" s="2" t="s">
        <v>388</v>
      </c>
    </row>
    <row r="101">
      <c r="A101" s="3" t="s">
        <v>42</v>
      </c>
      <c r="B101" s="2" t="s">
        <v>389</v>
      </c>
    </row>
    <row r="102">
      <c r="A102" s="3" t="s">
        <v>33</v>
      </c>
      <c r="B102" s="2" t="s">
        <v>380</v>
      </c>
    </row>
    <row r="103">
      <c r="A103" s="3" t="s">
        <v>176</v>
      </c>
      <c r="B103" s="2" t="s">
        <v>381</v>
      </c>
    </row>
    <row r="104">
      <c r="A104" s="3" t="s">
        <v>26</v>
      </c>
      <c r="B104" s="2" t="s">
        <v>382</v>
      </c>
    </row>
    <row r="105">
      <c r="A105" s="3" t="s">
        <v>93</v>
      </c>
      <c r="B105" s="2" t="s">
        <v>383</v>
      </c>
    </row>
    <row r="106">
      <c r="A106" s="3" t="s">
        <v>90</v>
      </c>
      <c r="B106" s="2" t="s">
        <v>384</v>
      </c>
    </row>
    <row r="107">
      <c r="A107" s="3" t="s">
        <v>181</v>
      </c>
      <c r="B107" s="2" t="s">
        <v>385</v>
      </c>
    </row>
    <row r="108">
      <c r="A108" s="3" t="s">
        <v>143</v>
      </c>
      <c r="B108" s="2" t="s">
        <v>386</v>
      </c>
    </row>
    <row r="109">
      <c r="A109" s="3" t="s">
        <v>69</v>
      </c>
      <c r="B109" s="2" t="s">
        <v>387</v>
      </c>
    </row>
    <row r="110">
      <c r="A110" s="3" t="s">
        <v>126</v>
      </c>
      <c r="B110" s="2" t="s">
        <v>388</v>
      </c>
    </row>
    <row r="111">
      <c r="A111" s="3" t="s">
        <v>143</v>
      </c>
      <c r="B111" s="2" t="s">
        <v>389</v>
      </c>
    </row>
    <row r="112">
      <c r="A112" s="3" t="s">
        <v>64</v>
      </c>
      <c r="B112" s="2" t="s">
        <v>380</v>
      </c>
    </row>
    <row r="113">
      <c r="A113" s="3" t="s">
        <v>86</v>
      </c>
      <c r="B113" s="2" t="s">
        <v>381</v>
      </c>
    </row>
    <row r="114">
      <c r="A114" s="3" t="s">
        <v>23</v>
      </c>
      <c r="B114" s="2" t="s">
        <v>382</v>
      </c>
    </row>
    <row r="115">
      <c r="A115" s="3" t="s">
        <v>60</v>
      </c>
      <c r="B115" s="2" t="s">
        <v>383</v>
      </c>
    </row>
    <row r="116">
      <c r="A116" s="3" t="s">
        <v>95</v>
      </c>
      <c r="B116" s="2" t="s">
        <v>384</v>
      </c>
    </row>
    <row r="117">
      <c r="A117" s="3" t="s">
        <v>181</v>
      </c>
      <c r="B117" s="2" t="s">
        <v>385</v>
      </c>
    </row>
    <row r="118">
      <c r="A118" s="3" t="s">
        <v>100</v>
      </c>
      <c r="B118" s="2" t="s">
        <v>386</v>
      </c>
    </row>
    <row r="119">
      <c r="A119" s="3" t="s">
        <v>33</v>
      </c>
      <c r="B119" s="2" t="s">
        <v>387</v>
      </c>
    </row>
    <row r="120">
      <c r="A120" s="3" t="s">
        <v>53</v>
      </c>
      <c r="B120" s="2" t="s">
        <v>388</v>
      </c>
    </row>
    <row r="121">
      <c r="A121" s="3" t="s">
        <v>181</v>
      </c>
      <c r="B121" s="2" t="s">
        <v>389</v>
      </c>
    </row>
    <row r="122">
      <c r="A122" s="3" t="s">
        <v>20</v>
      </c>
      <c r="B122" s="2" t="s">
        <v>380</v>
      </c>
    </row>
    <row r="123">
      <c r="A123" s="3" t="s">
        <v>48</v>
      </c>
      <c r="B123" s="2" t="s">
        <v>381</v>
      </c>
    </row>
    <row r="124">
      <c r="A124" s="3" t="s">
        <v>90</v>
      </c>
      <c r="B124" s="2" t="s">
        <v>382</v>
      </c>
    </row>
    <row r="125">
      <c r="A125" s="3" t="s">
        <v>102</v>
      </c>
      <c r="B125" s="2" t="s">
        <v>383</v>
      </c>
    </row>
    <row r="126">
      <c r="A126" s="3" t="s">
        <v>110</v>
      </c>
      <c r="B126" s="2" t="s">
        <v>384</v>
      </c>
    </row>
    <row r="127">
      <c r="A127" s="3" t="s">
        <v>39</v>
      </c>
      <c r="B127" s="2" t="s">
        <v>385</v>
      </c>
    </row>
    <row r="128">
      <c r="A128" s="3" t="s">
        <v>181</v>
      </c>
      <c r="B128" s="2" t="s">
        <v>386</v>
      </c>
    </row>
    <row r="129">
      <c r="A129" s="3" t="s">
        <v>124</v>
      </c>
      <c r="B129" s="2" t="s">
        <v>387</v>
      </c>
    </row>
    <row r="130">
      <c r="A130" s="3" t="s">
        <v>60</v>
      </c>
      <c r="B130" s="2" t="s">
        <v>388</v>
      </c>
    </row>
    <row r="131">
      <c r="A131" s="3" t="s">
        <v>67</v>
      </c>
      <c r="B131" s="2" t="s">
        <v>389</v>
      </c>
    </row>
    <row r="132">
      <c r="A132" s="3" t="s">
        <v>124</v>
      </c>
      <c r="B132" s="2" t="s">
        <v>380</v>
      </c>
    </row>
    <row r="133">
      <c r="A133" s="3" t="s">
        <v>86</v>
      </c>
      <c r="B133" s="2" t="s">
        <v>381</v>
      </c>
    </row>
    <row r="134">
      <c r="A134" s="3" t="s">
        <v>14</v>
      </c>
      <c r="B134" s="2" t="s">
        <v>382</v>
      </c>
    </row>
    <row r="135">
      <c r="A135" s="3" t="s">
        <v>51</v>
      </c>
      <c r="B135" s="2" t="s">
        <v>383</v>
      </c>
    </row>
    <row r="136">
      <c r="A136" s="3" t="s">
        <v>98</v>
      </c>
      <c r="B136" s="2" t="s">
        <v>384</v>
      </c>
    </row>
    <row r="137">
      <c r="A137" s="3" t="s">
        <v>95</v>
      </c>
      <c r="B137" s="2" t="s">
        <v>385</v>
      </c>
    </row>
    <row r="138">
      <c r="A138" s="3" t="s">
        <v>213</v>
      </c>
      <c r="B138" s="2" t="s">
        <v>386</v>
      </c>
    </row>
    <row r="139">
      <c r="A139" s="3" t="s">
        <v>143</v>
      </c>
      <c r="B139" s="2" t="s">
        <v>387</v>
      </c>
    </row>
    <row r="140">
      <c r="A140" s="3" t="s">
        <v>166</v>
      </c>
      <c r="B140" s="2" t="s">
        <v>388</v>
      </c>
    </row>
    <row r="141">
      <c r="A141" s="3" t="s">
        <v>166</v>
      </c>
      <c r="B141" s="2" t="s">
        <v>389</v>
      </c>
    </row>
    <row r="142">
      <c r="A142" s="3" t="s">
        <v>23</v>
      </c>
      <c r="B142" s="2" t="s">
        <v>380</v>
      </c>
    </row>
    <row r="143">
      <c r="A143" s="3" t="s">
        <v>11</v>
      </c>
      <c r="B143" s="2" t="s">
        <v>381</v>
      </c>
    </row>
    <row r="144">
      <c r="A144" s="3" t="s">
        <v>39</v>
      </c>
      <c r="B144" s="2" t="s">
        <v>382</v>
      </c>
    </row>
    <row r="145">
      <c r="A145" s="3" t="s">
        <v>83</v>
      </c>
      <c r="B145" s="2" t="s">
        <v>383</v>
      </c>
    </row>
    <row r="146">
      <c r="A146" s="3" t="s">
        <v>67</v>
      </c>
      <c r="B146" s="2" t="s">
        <v>384</v>
      </c>
    </row>
    <row r="147">
      <c r="A147" s="3" t="s">
        <v>93</v>
      </c>
      <c r="B147" s="2" t="s">
        <v>385</v>
      </c>
    </row>
    <row r="148">
      <c r="A148" s="3" t="s">
        <v>79</v>
      </c>
      <c r="B148" s="2" t="s">
        <v>386</v>
      </c>
    </row>
    <row r="149">
      <c r="A149" s="3" t="s">
        <v>93</v>
      </c>
      <c r="B149" s="2" t="s">
        <v>387</v>
      </c>
    </row>
    <row r="150">
      <c r="A150" s="3" t="s">
        <v>181</v>
      </c>
      <c r="B150" s="2" t="s">
        <v>388</v>
      </c>
    </row>
    <row r="151">
      <c r="A151" s="3" t="s">
        <v>60</v>
      </c>
      <c r="B151" s="2" t="s">
        <v>389</v>
      </c>
    </row>
    <row r="152">
      <c r="A152" s="3" t="s">
        <v>102</v>
      </c>
      <c r="B152" s="2" t="s">
        <v>380</v>
      </c>
    </row>
    <row r="153">
      <c r="A153" s="3" t="s">
        <v>83</v>
      </c>
      <c r="B153" s="2" t="s">
        <v>381</v>
      </c>
    </row>
    <row r="154">
      <c r="A154" s="3" t="s">
        <v>106</v>
      </c>
      <c r="B154" s="2" t="s">
        <v>382</v>
      </c>
    </row>
    <row r="155">
      <c r="A155" s="3" t="s">
        <v>37</v>
      </c>
      <c r="B155" s="2" t="s">
        <v>383</v>
      </c>
    </row>
    <row r="156">
      <c r="A156" s="3" t="s">
        <v>131</v>
      </c>
      <c r="B156" s="2" t="s">
        <v>384</v>
      </c>
    </row>
    <row r="157">
      <c r="A157" s="3" t="s">
        <v>122</v>
      </c>
      <c r="B157" s="2" t="s">
        <v>385</v>
      </c>
    </row>
    <row r="158">
      <c r="A158" s="3" t="s">
        <v>14</v>
      </c>
      <c r="B158" s="2" t="s">
        <v>386</v>
      </c>
    </row>
    <row r="159">
      <c r="A159" s="3" t="s">
        <v>110</v>
      </c>
      <c r="B159" s="2" t="s">
        <v>387</v>
      </c>
    </row>
    <row r="160">
      <c r="A160" s="3" t="s">
        <v>137</v>
      </c>
      <c r="B160" s="2" t="s">
        <v>388</v>
      </c>
    </row>
    <row r="161">
      <c r="A161" s="3" t="s">
        <v>100</v>
      </c>
      <c r="B161" s="2" t="s">
        <v>389</v>
      </c>
    </row>
    <row r="162">
      <c r="A162" s="3" t="s">
        <v>122</v>
      </c>
      <c r="B162" s="2" t="s">
        <v>380</v>
      </c>
    </row>
    <row r="163">
      <c r="A163" s="3" t="s">
        <v>53</v>
      </c>
      <c r="B163" s="2" t="s">
        <v>381</v>
      </c>
    </row>
    <row r="164">
      <c r="A164" s="3" t="s">
        <v>23</v>
      </c>
      <c r="B164" s="2" t="s">
        <v>382</v>
      </c>
    </row>
    <row r="165">
      <c r="A165" s="3" t="s">
        <v>95</v>
      </c>
      <c r="B165" s="2" t="s">
        <v>383</v>
      </c>
    </row>
    <row r="166">
      <c r="A166" s="3" t="s">
        <v>181</v>
      </c>
      <c r="B166" s="2" t="s">
        <v>384</v>
      </c>
    </row>
    <row r="167">
      <c r="A167" s="3" t="s">
        <v>98</v>
      </c>
      <c r="B167" s="2" t="s">
        <v>385</v>
      </c>
    </row>
    <row r="168">
      <c r="A168" s="3" t="s">
        <v>90</v>
      </c>
      <c r="B168" s="2" t="s">
        <v>386</v>
      </c>
    </row>
    <row r="169">
      <c r="A169" s="3" t="s">
        <v>79</v>
      </c>
      <c r="B169" s="2" t="s">
        <v>387</v>
      </c>
    </row>
    <row r="170">
      <c r="A170" s="3" t="s">
        <v>95</v>
      </c>
      <c r="B170" s="2" t="s">
        <v>388</v>
      </c>
    </row>
    <row r="171">
      <c r="A171" s="3" t="s">
        <v>122</v>
      </c>
      <c r="B171" s="2" t="s">
        <v>389</v>
      </c>
    </row>
    <row r="172">
      <c r="A172" s="3" t="s">
        <v>98</v>
      </c>
      <c r="B172" s="2" t="s">
        <v>380</v>
      </c>
    </row>
    <row r="173">
      <c r="A173" s="3" t="s">
        <v>42</v>
      </c>
      <c r="B173" s="2" t="s">
        <v>381</v>
      </c>
    </row>
    <row r="174">
      <c r="A174" s="3" t="s">
        <v>79</v>
      </c>
      <c r="B174" s="2" t="s">
        <v>382</v>
      </c>
    </row>
    <row r="175">
      <c r="A175" s="3" t="s">
        <v>53</v>
      </c>
      <c r="B175" s="2" t="s">
        <v>383</v>
      </c>
    </row>
    <row r="176">
      <c r="A176" s="3" t="s">
        <v>77</v>
      </c>
      <c r="B176" s="2" t="s">
        <v>384</v>
      </c>
    </row>
    <row r="177">
      <c r="A177" s="3" t="s">
        <v>67</v>
      </c>
      <c r="B177" s="2" t="s">
        <v>385</v>
      </c>
    </row>
    <row r="178">
      <c r="A178" s="3" t="s">
        <v>254</v>
      </c>
      <c r="B178" s="2" t="s">
        <v>386</v>
      </c>
    </row>
    <row r="179">
      <c r="A179" s="3" t="s">
        <v>95</v>
      </c>
      <c r="B179" s="2" t="s">
        <v>387</v>
      </c>
    </row>
    <row r="180">
      <c r="A180" s="3" t="s">
        <v>17</v>
      </c>
      <c r="B180" s="2" t="s">
        <v>388</v>
      </c>
    </row>
    <row r="181">
      <c r="A181" s="3" t="s">
        <v>23</v>
      </c>
      <c r="B181" s="2" t="s">
        <v>389</v>
      </c>
    </row>
    <row r="182">
      <c r="A182" s="3" t="s">
        <v>37</v>
      </c>
      <c r="B182" s="2" t="s">
        <v>380</v>
      </c>
    </row>
    <row r="183">
      <c r="A183" s="3" t="s">
        <v>124</v>
      </c>
      <c r="B183" s="2" t="s">
        <v>381</v>
      </c>
    </row>
    <row r="184">
      <c r="A184" s="3" t="s">
        <v>176</v>
      </c>
      <c r="B184" s="2" t="s">
        <v>382</v>
      </c>
    </row>
    <row r="185">
      <c r="A185" s="3" t="s">
        <v>102</v>
      </c>
      <c r="B185" s="2" t="s">
        <v>383</v>
      </c>
    </row>
    <row r="186">
      <c r="A186" s="3" t="s">
        <v>176</v>
      </c>
      <c r="B186" s="2" t="s">
        <v>384</v>
      </c>
    </row>
    <row r="187">
      <c r="A187" s="3" t="s">
        <v>39</v>
      </c>
      <c r="B187" s="2" t="s">
        <v>385</v>
      </c>
    </row>
    <row r="188">
      <c r="A188" s="3" t="s">
        <v>166</v>
      </c>
      <c r="B188" s="2" t="s">
        <v>386</v>
      </c>
    </row>
    <row r="189">
      <c r="A189" s="3" t="s">
        <v>28</v>
      </c>
      <c r="B189" s="2" t="s">
        <v>387</v>
      </c>
    </row>
    <row r="190">
      <c r="A190" s="3" t="s">
        <v>26</v>
      </c>
      <c r="B190" s="2" t="s">
        <v>388</v>
      </c>
    </row>
    <row r="191">
      <c r="A191" s="3" t="s">
        <v>148</v>
      </c>
      <c r="B191" s="2" t="s">
        <v>389</v>
      </c>
    </row>
    <row r="192">
      <c r="A192" s="3" t="s">
        <v>28</v>
      </c>
      <c r="B192" s="2" t="s">
        <v>380</v>
      </c>
    </row>
    <row r="193">
      <c r="A193" s="3" t="s">
        <v>181</v>
      </c>
      <c r="B193" s="2" t="s">
        <v>381</v>
      </c>
    </row>
    <row r="194">
      <c r="A194" s="3" t="s">
        <v>46</v>
      </c>
      <c r="B194" s="2" t="s">
        <v>382</v>
      </c>
    </row>
    <row r="195">
      <c r="A195" s="3" t="s">
        <v>272</v>
      </c>
      <c r="B195" s="2" t="s">
        <v>383</v>
      </c>
    </row>
    <row r="196">
      <c r="A196" s="3" t="s">
        <v>254</v>
      </c>
      <c r="B196" s="2" t="s">
        <v>384</v>
      </c>
    </row>
    <row r="197">
      <c r="A197" s="3" t="s">
        <v>181</v>
      </c>
      <c r="B197" s="2" t="s">
        <v>385</v>
      </c>
    </row>
    <row r="198">
      <c r="A198" s="3" t="s">
        <v>26</v>
      </c>
      <c r="B198" s="2" t="s">
        <v>386</v>
      </c>
    </row>
    <row r="199">
      <c r="A199" s="3" t="s">
        <v>118</v>
      </c>
      <c r="B199" s="2" t="s">
        <v>387</v>
      </c>
    </row>
    <row r="200">
      <c r="A200" s="3" t="s">
        <v>176</v>
      </c>
      <c r="B200" s="2" t="s">
        <v>388</v>
      </c>
    </row>
    <row r="201">
      <c r="A201" s="3" t="s">
        <v>23</v>
      </c>
      <c r="B201" s="2" t="s">
        <v>389</v>
      </c>
    </row>
    <row r="202">
      <c r="A202" s="3" t="s">
        <v>60</v>
      </c>
      <c r="B202" s="2" t="s">
        <v>380</v>
      </c>
    </row>
    <row r="203">
      <c r="A203" s="3" t="s">
        <v>213</v>
      </c>
      <c r="B203" s="2" t="s">
        <v>381</v>
      </c>
    </row>
    <row r="204">
      <c r="A204" s="3" t="s">
        <v>137</v>
      </c>
      <c r="B204" s="2" t="s">
        <v>382</v>
      </c>
    </row>
    <row r="205">
      <c r="A205" s="3" t="s">
        <v>254</v>
      </c>
      <c r="B205" s="2" t="s">
        <v>383</v>
      </c>
    </row>
    <row r="206">
      <c r="A206" s="3" t="s">
        <v>106</v>
      </c>
      <c r="B206" s="2" t="s">
        <v>384</v>
      </c>
    </row>
    <row r="207">
      <c r="A207" s="3" t="s">
        <v>100</v>
      </c>
      <c r="B207" s="2" t="s">
        <v>385</v>
      </c>
    </row>
    <row r="208">
      <c r="A208" s="3" t="s">
        <v>48</v>
      </c>
      <c r="B208" s="2" t="s">
        <v>386</v>
      </c>
    </row>
    <row r="209">
      <c r="A209" s="3" t="s">
        <v>110</v>
      </c>
      <c r="B209" s="2" t="s">
        <v>387</v>
      </c>
    </row>
    <row r="210">
      <c r="A210" s="3" t="s">
        <v>114</v>
      </c>
      <c r="B210" s="2" t="s">
        <v>388</v>
      </c>
    </row>
    <row r="211">
      <c r="A211" s="3" t="s">
        <v>26</v>
      </c>
      <c r="B211" s="2" t="s">
        <v>389</v>
      </c>
    </row>
    <row r="212">
      <c r="A212" s="3" t="s">
        <v>143</v>
      </c>
      <c r="B212" s="2" t="s">
        <v>380</v>
      </c>
    </row>
    <row r="213">
      <c r="A213" s="3" t="s">
        <v>137</v>
      </c>
      <c r="B213" s="2" t="s">
        <v>381</v>
      </c>
    </row>
    <row r="214">
      <c r="A214" s="3" t="s">
        <v>53</v>
      </c>
      <c r="B214" s="2" t="s">
        <v>382</v>
      </c>
    </row>
    <row r="215">
      <c r="A215" s="3" t="s">
        <v>67</v>
      </c>
      <c r="B215" s="2" t="s">
        <v>383</v>
      </c>
    </row>
    <row r="216">
      <c r="A216" s="3" t="s">
        <v>26</v>
      </c>
      <c r="B216" s="2" t="s">
        <v>384</v>
      </c>
    </row>
    <row r="217">
      <c r="A217" s="3" t="s">
        <v>114</v>
      </c>
      <c r="B217" s="2" t="s">
        <v>385</v>
      </c>
    </row>
    <row r="218">
      <c r="A218" s="3" t="s">
        <v>131</v>
      </c>
      <c r="B218" s="2" t="s">
        <v>386</v>
      </c>
    </row>
    <row r="219">
      <c r="A219" s="3" t="s">
        <v>140</v>
      </c>
      <c r="B219" s="2" t="s">
        <v>387</v>
      </c>
    </row>
    <row r="220">
      <c r="A220" s="3" t="s">
        <v>122</v>
      </c>
      <c r="B220" s="2" t="s">
        <v>388</v>
      </c>
    </row>
    <row r="221">
      <c r="A221" s="3" t="s">
        <v>166</v>
      </c>
      <c r="B221" s="2" t="s">
        <v>389</v>
      </c>
    </row>
    <row r="222">
      <c r="A222" s="3" t="s">
        <v>93</v>
      </c>
      <c r="B222" s="2" t="s">
        <v>380</v>
      </c>
    </row>
    <row r="223">
      <c r="A223" s="3" t="s">
        <v>62</v>
      </c>
      <c r="B223" s="2" t="s">
        <v>381</v>
      </c>
    </row>
    <row r="224">
      <c r="A224" s="3" t="s">
        <v>90</v>
      </c>
      <c r="B224" s="2" t="s">
        <v>382</v>
      </c>
    </row>
    <row r="225">
      <c r="A225" s="3" t="s">
        <v>110</v>
      </c>
      <c r="B225" s="2" t="s">
        <v>383</v>
      </c>
    </row>
    <row r="226">
      <c r="A226" s="3" t="s">
        <v>102</v>
      </c>
      <c r="B226" s="2" t="s">
        <v>384</v>
      </c>
    </row>
    <row r="227">
      <c r="A227" s="3" t="s">
        <v>23</v>
      </c>
      <c r="B227" s="2" t="s">
        <v>385</v>
      </c>
    </row>
    <row r="228">
      <c r="A228" s="3" t="s">
        <v>122</v>
      </c>
      <c r="B228" s="2" t="s">
        <v>386</v>
      </c>
    </row>
    <row r="229">
      <c r="A229" s="3" t="s">
        <v>131</v>
      </c>
      <c r="B229" s="2" t="s">
        <v>387</v>
      </c>
    </row>
    <row r="230">
      <c r="A230" s="3" t="s">
        <v>60</v>
      </c>
      <c r="B230" s="2" t="s">
        <v>388</v>
      </c>
    </row>
    <row r="231">
      <c r="A231" s="3" t="s">
        <v>17</v>
      </c>
      <c r="B231" s="2" t="s">
        <v>389</v>
      </c>
    </row>
    <row r="232">
      <c r="A232" s="3" t="s">
        <v>62</v>
      </c>
      <c r="B232" s="2" t="s">
        <v>380</v>
      </c>
    </row>
    <row r="233">
      <c r="A233" s="3" t="s">
        <v>11</v>
      </c>
      <c r="B233" s="2" t="s">
        <v>381</v>
      </c>
    </row>
    <row r="234">
      <c r="A234" s="3" t="s">
        <v>67</v>
      </c>
      <c r="B234" s="2" t="s">
        <v>382</v>
      </c>
    </row>
    <row r="235">
      <c r="A235" s="3" t="s">
        <v>137</v>
      </c>
      <c r="B235" s="2" t="s">
        <v>383</v>
      </c>
    </row>
    <row r="236">
      <c r="A236" s="3" t="s">
        <v>100</v>
      </c>
      <c r="B236" s="2" t="s">
        <v>384</v>
      </c>
    </row>
    <row r="237">
      <c r="A237" s="3" t="s">
        <v>90</v>
      </c>
      <c r="B237" s="2" t="s">
        <v>385</v>
      </c>
    </row>
    <row r="238">
      <c r="A238" s="3" t="s">
        <v>26</v>
      </c>
      <c r="B238" s="2" t="s">
        <v>386</v>
      </c>
    </row>
    <row r="239">
      <c r="A239" s="3" t="s">
        <v>37</v>
      </c>
      <c r="B239" s="2" t="s">
        <v>387</v>
      </c>
    </row>
    <row r="240">
      <c r="A240" s="3" t="s">
        <v>148</v>
      </c>
      <c r="B240" s="2" t="s">
        <v>388</v>
      </c>
    </row>
    <row r="241">
      <c r="A241" s="3" t="s">
        <v>118</v>
      </c>
      <c r="B241" s="2" t="s">
        <v>389</v>
      </c>
    </row>
    <row r="242">
      <c r="A242" s="3" t="s">
        <v>51</v>
      </c>
      <c r="B242" s="2" t="s">
        <v>380</v>
      </c>
    </row>
    <row r="243">
      <c r="A243" s="3" t="s">
        <v>23</v>
      </c>
      <c r="B243" s="2" t="s">
        <v>381</v>
      </c>
    </row>
    <row r="244">
      <c r="A244" s="3" t="s">
        <v>39</v>
      </c>
      <c r="B244" s="2" t="s">
        <v>382</v>
      </c>
    </row>
    <row r="245">
      <c r="A245" s="3" t="s">
        <v>131</v>
      </c>
      <c r="B245" s="2" t="s">
        <v>383</v>
      </c>
    </row>
    <row r="246">
      <c r="A246" s="3" t="s">
        <v>60</v>
      </c>
      <c r="B246" s="2" t="s">
        <v>384</v>
      </c>
    </row>
    <row r="247">
      <c r="A247" s="3" t="s">
        <v>122</v>
      </c>
      <c r="B247" s="2" t="s">
        <v>385</v>
      </c>
    </row>
    <row r="248">
      <c r="A248" s="3" t="s">
        <v>37</v>
      </c>
      <c r="B248" s="2" t="s">
        <v>386</v>
      </c>
    </row>
    <row r="249">
      <c r="A249" s="3" t="s">
        <v>140</v>
      </c>
      <c r="B249" s="2" t="s">
        <v>387</v>
      </c>
    </row>
    <row r="250">
      <c r="A250" s="3" t="s">
        <v>102</v>
      </c>
      <c r="B250" s="2" t="s">
        <v>388</v>
      </c>
    </row>
    <row r="251">
      <c r="A251" s="3" t="s">
        <v>48</v>
      </c>
      <c r="B251" s="2" t="s">
        <v>389</v>
      </c>
    </row>
    <row r="252">
      <c r="A252" s="3" t="s">
        <v>254</v>
      </c>
      <c r="B252" s="2" t="s">
        <v>380</v>
      </c>
    </row>
    <row r="253">
      <c r="A253" s="3" t="s">
        <v>148</v>
      </c>
      <c r="B253" s="2" t="s">
        <v>381</v>
      </c>
    </row>
    <row r="254">
      <c r="A254" s="3" t="s">
        <v>83</v>
      </c>
      <c r="B254" s="2" t="s">
        <v>382</v>
      </c>
    </row>
    <row r="255">
      <c r="A255" s="3" t="s">
        <v>79</v>
      </c>
      <c r="B255" s="2" t="s">
        <v>383</v>
      </c>
    </row>
    <row r="256">
      <c r="A256" s="3" t="s">
        <v>28</v>
      </c>
      <c r="B256" s="2" t="s">
        <v>384</v>
      </c>
    </row>
    <row r="257">
      <c r="A257" s="3" t="s">
        <v>126</v>
      </c>
      <c r="B257" s="2" t="s">
        <v>385</v>
      </c>
    </row>
    <row r="258">
      <c r="A258" s="3" t="s">
        <v>148</v>
      </c>
      <c r="B258" s="2" t="s">
        <v>386</v>
      </c>
    </row>
    <row r="259">
      <c r="A259" s="3" t="s">
        <v>42</v>
      </c>
      <c r="B259" s="2" t="s">
        <v>387</v>
      </c>
    </row>
    <row r="260">
      <c r="A260" s="3" t="s">
        <v>51</v>
      </c>
      <c r="B260" s="2" t="s">
        <v>388</v>
      </c>
    </row>
    <row r="261">
      <c r="A261" s="3" t="s">
        <v>126</v>
      </c>
      <c r="B261" s="2" t="s">
        <v>389</v>
      </c>
    </row>
    <row r="262">
      <c r="A262" s="3" t="s">
        <v>131</v>
      </c>
      <c r="B262" s="2" t="s">
        <v>380</v>
      </c>
    </row>
    <row r="263">
      <c r="A263" s="3" t="s">
        <v>62</v>
      </c>
      <c r="B263" s="2" t="s">
        <v>381</v>
      </c>
    </row>
    <row r="264">
      <c r="A264" s="3" t="s">
        <v>90</v>
      </c>
      <c r="B264" s="2" t="s">
        <v>382</v>
      </c>
    </row>
    <row r="265">
      <c r="A265" s="3" t="s">
        <v>53</v>
      </c>
      <c r="B265" s="2" t="s">
        <v>383</v>
      </c>
    </row>
    <row r="266">
      <c r="A266" s="3" t="s">
        <v>143</v>
      </c>
      <c r="B266" s="2" t="s">
        <v>384</v>
      </c>
    </row>
    <row r="267">
      <c r="A267" s="3" t="s">
        <v>77</v>
      </c>
      <c r="B267" s="2" t="s">
        <v>385</v>
      </c>
    </row>
    <row r="268">
      <c r="A268" s="3" t="s">
        <v>77</v>
      </c>
      <c r="B268" s="2" t="s">
        <v>386</v>
      </c>
    </row>
    <row r="269">
      <c r="A269" s="3" t="s">
        <v>213</v>
      </c>
      <c r="B269" s="2" t="s">
        <v>387</v>
      </c>
    </row>
    <row r="270">
      <c r="A270" s="3" t="s">
        <v>166</v>
      </c>
      <c r="B270" s="2" t="s">
        <v>388</v>
      </c>
    </row>
    <row r="271">
      <c r="A271" s="3" t="s">
        <v>349</v>
      </c>
      <c r="B271" s="2" t="s">
        <v>389</v>
      </c>
    </row>
    <row r="272">
      <c r="A272" s="3" t="s">
        <v>62</v>
      </c>
      <c r="B272" s="2" t="s">
        <v>380</v>
      </c>
    </row>
    <row r="273">
      <c r="A273" s="3" t="s">
        <v>39</v>
      </c>
      <c r="B273" s="2" t="s">
        <v>381</v>
      </c>
    </row>
    <row r="274">
      <c r="A274" s="3" t="s">
        <v>53</v>
      </c>
      <c r="B274" s="2" t="s">
        <v>382</v>
      </c>
    </row>
    <row r="275">
      <c r="A275" s="3" t="s">
        <v>77</v>
      </c>
      <c r="B275" s="2" t="s">
        <v>383</v>
      </c>
    </row>
    <row r="276">
      <c r="A276" s="3" t="s">
        <v>126</v>
      </c>
      <c r="B276" s="2" t="s">
        <v>384</v>
      </c>
    </row>
    <row r="277">
      <c r="A277" s="3" t="s">
        <v>90</v>
      </c>
      <c r="B277" s="2" t="s">
        <v>385</v>
      </c>
    </row>
    <row r="278">
      <c r="A278" s="3" t="s">
        <v>98</v>
      </c>
      <c r="B278" s="2" t="s">
        <v>386</v>
      </c>
    </row>
    <row r="279">
      <c r="A279" s="3" t="s">
        <v>131</v>
      </c>
      <c r="B279" s="2" t="s">
        <v>387</v>
      </c>
    </row>
    <row r="280">
      <c r="A280" s="3" t="s">
        <v>122</v>
      </c>
      <c r="B280" s="2" t="s">
        <v>388</v>
      </c>
    </row>
    <row r="281">
      <c r="A281" s="3" t="s">
        <v>14</v>
      </c>
      <c r="B281" s="2" t="s">
        <v>389</v>
      </c>
    </row>
    <row r="282">
      <c r="A282" s="3" t="s">
        <v>181</v>
      </c>
      <c r="B282" s="2" t="s">
        <v>380</v>
      </c>
    </row>
    <row r="283">
      <c r="A283" s="3" t="s">
        <v>93</v>
      </c>
      <c r="B283" s="2" t="s">
        <v>381</v>
      </c>
    </row>
    <row r="284">
      <c r="A284" s="3" t="s">
        <v>122</v>
      </c>
      <c r="B284" s="2" t="s">
        <v>382</v>
      </c>
    </row>
    <row r="285">
      <c r="A285" s="3" t="s">
        <v>176</v>
      </c>
      <c r="B285" s="2" t="s">
        <v>383</v>
      </c>
    </row>
    <row r="286">
      <c r="A286" s="3" t="s">
        <v>176</v>
      </c>
      <c r="B286" s="2" t="s">
        <v>384</v>
      </c>
    </row>
    <row r="287">
      <c r="A287" s="3" t="s">
        <v>79</v>
      </c>
      <c r="B287" s="2" t="s">
        <v>385</v>
      </c>
    </row>
    <row r="288">
      <c r="A288" s="3" t="s">
        <v>33</v>
      </c>
      <c r="B288" s="2" t="s">
        <v>386</v>
      </c>
    </row>
    <row r="289">
      <c r="A289" s="3" t="s">
        <v>33</v>
      </c>
      <c r="B289" s="2" t="s">
        <v>387</v>
      </c>
    </row>
    <row r="290">
      <c r="A290" s="3" t="s">
        <v>67</v>
      </c>
      <c r="B290" s="2" t="s">
        <v>388</v>
      </c>
    </row>
    <row r="291">
      <c r="A291" s="3" t="s">
        <v>140</v>
      </c>
      <c r="B291" s="2" t="s">
        <v>389</v>
      </c>
    </row>
    <row r="292">
      <c r="A292" s="3" t="s">
        <v>108</v>
      </c>
      <c r="B292" s="2" t="s">
        <v>380</v>
      </c>
    </row>
    <row r="293">
      <c r="A293" s="3" t="s">
        <v>79</v>
      </c>
      <c r="B293" s="2" t="s">
        <v>381</v>
      </c>
    </row>
    <row r="294">
      <c r="A294" s="3" t="s">
        <v>143</v>
      </c>
      <c r="B294" s="2" t="s">
        <v>382</v>
      </c>
    </row>
    <row r="295">
      <c r="A295" s="3" t="s">
        <v>176</v>
      </c>
      <c r="B295" s="2" t="s">
        <v>383</v>
      </c>
    </row>
    <row r="296">
      <c r="A296" s="3" t="s">
        <v>110</v>
      </c>
      <c r="B296" s="2" t="s">
        <v>384</v>
      </c>
    </row>
    <row r="297">
      <c r="A297" s="3" t="s">
        <v>67</v>
      </c>
      <c r="B297" s="2" t="s">
        <v>385</v>
      </c>
    </row>
    <row r="298">
      <c r="A298" s="3" t="s">
        <v>137</v>
      </c>
      <c r="B298" s="2" t="s">
        <v>386</v>
      </c>
    </row>
    <row r="299">
      <c r="A299" s="3" t="s">
        <v>83</v>
      </c>
      <c r="B299" s="2" t="s">
        <v>387</v>
      </c>
    </row>
    <row r="300">
      <c r="A300" s="3" t="s">
        <v>83</v>
      </c>
      <c r="B300" s="2" t="s">
        <v>388</v>
      </c>
    </row>
    <row r="301">
      <c r="A301" s="3" t="s">
        <v>349</v>
      </c>
      <c r="B301" s="2" t="s">
        <v>389</v>
      </c>
    </row>
    <row r="302">
      <c r="B302" s="2" t="s">
        <v>380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D1" s="1" t="s">
        <v>8</v>
      </c>
    </row>
    <row r="2">
      <c r="A2" s="4" t="s">
        <v>12</v>
      </c>
      <c r="B2" s="2" t="s">
        <v>390</v>
      </c>
      <c r="C2" s="2" t="s">
        <v>391</v>
      </c>
      <c r="D2" s="2">
        <v>62520.0</v>
      </c>
    </row>
    <row r="3">
      <c r="A3" s="4" t="s">
        <v>15</v>
      </c>
      <c r="B3" s="2" t="s">
        <v>392</v>
      </c>
      <c r="C3" s="2" t="s">
        <v>391</v>
      </c>
      <c r="D3" s="2">
        <v>59549.0</v>
      </c>
    </row>
    <row r="4">
      <c r="A4" s="4" t="s">
        <v>18</v>
      </c>
      <c r="B4" s="2" t="s">
        <v>393</v>
      </c>
      <c r="C4" s="2" t="s">
        <v>394</v>
      </c>
      <c r="D4" s="2">
        <v>2760.0</v>
      </c>
    </row>
    <row r="5">
      <c r="A5" s="4" t="s">
        <v>21</v>
      </c>
      <c r="B5" s="2" t="s">
        <v>395</v>
      </c>
      <c r="C5" s="2" t="s">
        <v>394</v>
      </c>
      <c r="D5" s="2">
        <v>3649.0</v>
      </c>
    </row>
    <row r="6">
      <c r="A6" s="4" t="s">
        <v>24</v>
      </c>
      <c r="B6" s="2" t="s">
        <v>396</v>
      </c>
      <c r="C6" s="2" t="s">
        <v>394</v>
      </c>
      <c r="D6" s="2">
        <v>2426.0</v>
      </c>
    </row>
    <row r="7">
      <c r="A7" s="4" t="s">
        <v>15</v>
      </c>
      <c r="B7" s="2" t="s">
        <v>397</v>
      </c>
      <c r="C7" s="2" t="s">
        <v>391</v>
      </c>
      <c r="D7" s="2">
        <v>18669.0</v>
      </c>
    </row>
    <row r="8">
      <c r="A8" s="4" t="s">
        <v>29</v>
      </c>
      <c r="B8" s="2" t="s">
        <v>398</v>
      </c>
      <c r="C8" s="2" t="s">
        <v>394</v>
      </c>
      <c r="D8" s="2">
        <v>586.0</v>
      </c>
    </row>
    <row r="9">
      <c r="A9" s="4" t="s">
        <v>31</v>
      </c>
      <c r="B9" s="2" t="s">
        <v>399</v>
      </c>
      <c r="C9" s="2" t="s">
        <v>391</v>
      </c>
      <c r="D9" s="2">
        <v>63079.0</v>
      </c>
    </row>
    <row r="10">
      <c r="A10" s="4" t="s">
        <v>21</v>
      </c>
      <c r="B10" s="2" t="s">
        <v>400</v>
      </c>
      <c r="C10" s="2" t="s">
        <v>394</v>
      </c>
      <c r="D10" s="2">
        <v>2131.0</v>
      </c>
    </row>
    <row r="11">
      <c r="A11" s="4" t="s">
        <v>35</v>
      </c>
      <c r="B11" s="2" t="s">
        <v>401</v>
      </c>
      <c r="C11" s="2" t="s">
        <v>391</v>
      </c>
      <c r="D11" s="2">
        <v>49383.0</v>
      </c>
    </row>
    <row r="12">
      <c r="A12" s="4" t="s">
        <v>24</v>
      </c>
      <c r="B12" s="2" t="s">
        <v>390</v>
      </c>
      <c r="C12" s="2" t="s">
        <v>391</v>
      </c>
      <c r="D12" s="2">
        <v>18901.0</v>
      </c>
    </row>
    <row r="13">
      <c r="A13" s="4" t="s">
        <v>40</v>
      </c>
      <c r="B13" s="2" t="s">
        <v>392</v>
      </c>
      <c r="C13" s="2" t="s">
        <v>391</v>
      </c>
      <c r="D13" s="2">
        <v>50972.0</v>
      </c>
    </row>
    <row r="14">
      <c r="A14" s="4" t="s">
        <v>43</v>
      </c>
      <c r="B14" s="2" t="s">
        <v>393</v>
      </c>
      <c r="C14" s="2" t="s">
        <v>394</v>
      </c>
      <c r="D14" s="2">
        <v>1821.0</v>
      </c>
    </row>
    <row r="15">
      <c r="A15" s="4" t="s">
        <v>31</v>
      </c>
      <c r="B15" s="2" t="s">
        <v>395</v>
      </c>
      <c r="C15" s="2" t="s">
        <v>394</v>
      </c>
      <c r="D15" s="2">
        <v>3670.0</v>
      </c>
    </row>
    <row r="16">
      <c r="A16" s="4" t="s">
        <v>21</v>
      </c>
      <c r="B16" s="2" t="s">
        <v>396</v>
      </c>
      <c r="C16" s="2" t="s">
        <v>394</v>
      </c>
      <c r="D16" s="2">
        <v>3325.0</v>
      </c>
    </row>
    <row r="17">
      <c r="A17" s="4" t="s">
        <v>49</v>
      </c>
      <c r="B17" s="2" t="s">
        <v>397</v>
      </c>
      <c r="C17" s="2" t="s">
        <v>391</v>
      </c>
      <c r="D17" s="2">
        <v>40192.0</v>
      </c>
    </row>
    <row r="18">
      <c r="A18" s="4" t="s">
        <v>18</v>
      </c>
      <c r="B18" s="2" t="s">
        <v>398</v>
      </c>
      <c r="C18" s="2" t="s">
        <v>394</v>
      </c>
      <c r="D18" s="2">
        <v>1523.0</v>
      </c>
    </row>
    <row r="19">
      <c r="A19" s="4" t="s">
        <v>31</v>
      </c>
      <c r="B19" s="2" t="s">
        <v>399</v>
      </c>
      <c r="C19" s="2" t="s">
        <v>391</v>
      </c>
      <c r="D19" s="2">
        <v>45649.0</v>
      </c>
    </row>
    <row r="20">
      <c r="A20" s="4" t="s">
        <v>55</v>
      </c>
      <c r="B20" s="2" t="s">
        <v>400</v>
      </c>
      <c r="C20" s="2" t="s">
        <v>394</v>
      </c>
      <c r="D20" s="2">
        <v>3408.0</v>
      </c>
    </row>
    <row r="21">
      <c r="A21" s="4" t="s">
        <v>57</v>
      </c>
      <c r="B21" s="2" t="s">
        <v>401</v>
      </c>
      <c r="C21" s="2" t="s">
        <v>391</v>
      </c>
      <c r="D21" s="2">
        <v>20151.0</v>
      </c>
    </row>
    <row r="22">
      <c r="A22" s="4" t="s">
        <v>31</v>
      </c>
      <c r="B22" s="2" t="s">
        <v>390</v>
      </c>
      <c r="C22" s="2" t="s">
        <v>391</v>
      </c>
      <c r="D22" s="2">
        <v>43229.0</v>
      </c>
    </row>
    <row r="23">
      <c r="A23" s="4" t="s">
        <v>55</v>
      </c>
      <c r="B23" s="2" t="s">
        <v>392</v>
      </c>
      <c r="C23" s="2" t="s">
        <v>391</v>
      </c>
      <c r="D23" s="2">
        <v>32067.0</v>
      </c>
    </row>
    <row r="24">
      <c r="A24" s="4" t="s">
        <v>43</v>
      </c>
      <c r="B24" s="2" t="s">
        <v>393</v>
      </c>
      <c r="C24" s="2" t="s">
        <v>394</v>
      </c>
      <c r="D24" s="2">
        <v>4376.0</v>
      </c>
    </row>
    <row r="25">
      <c r="A25" s="4" t="s">
        <v>65</v>
      </c>
      <c r="B25" s="2" t="s">
        <v>395</v>
      </c>
      <c r="C25" s="2" t="s">
        <v>394</v>
      </c>
      <c r="D25" s="2">
        <v>2899.0</v>
      </c>
    </row>
    <row r="26">
      <c r="A26" s="4" t="s">
        <v>15</v>
      </c>
      <c r="B26" s="2" t="s">
        <v>396</v>
      </c>
      <c r="C26" s="2" t="s">
        <v>394</v>
      </c>
      <c r="D26" s="2">
        <v>3486.0</v>
      </c>
    </row>
    <row r="27">
      <c r="A27" s="4" t="s">
        <v>70</v>
      </c>
      <c r="B27" s="2" t="s">
        <v>397</v>
      </c>
      <c r="C27" s="2" t="s">
        <v>391</v>
      </c>
      <c r="D27" s="2">
        <v>45245.0</v>
      </c>
    </row>
    <row r="28">
      <c r="A28" s="4" t="s">
        <v>65</v>
      </c>
      <c r="B28" s="2" t="s">
        <v>398</v>
      </c>
      <c r="C28" s="2" t="s">
        <v>394</v>
      </c>
      <c r="D28" s="2">
        <v>3281.0</v>
      </c>
    </row>
    <row r="29">
      <c r="A29" s="4" t="s">
        <v>31</v>
      </c>
      <c r="B29" s="2" t="s">
        <v>399</v>
      </c>
      <c r="C29" s="2" t="s">
        <v>391</v>
      </c>
      <c r="D29" s="2">
        <v>36679.0</v>
      </c>
    </row>
    <row r="30">
      <c r="A30" s="4" t="s">
        <v>43</v>
      </c>
      <c r="B30" s="2" t="s">
        <v>400</v>
      </c>
      <c r="C30" s="2" t="s">
        <v>394</v>
      </c>
      <c r="D30" s="2">
        <v>2618.0</v>
      </c>
    </row>
    <row r="31">
      <c r="A31" s="4" t="s">
        <v>75</v>
      </c>
      <c r="B31" s="2" t="s">
        <v>401</v>
      </c>
      <c r="C31" s="2" t="s">
        <v>391</v>
      </c>
      <c r="D31" s="2">
        <v>61749.0</v>
      </c>
    </row>
    <row r="32">
      <c r="A32" s="4" t="s">
        <v>35</v>
      </c>
      <c r="B32" s="2" t="s">
        <v>390</v>
      </c>
      <c r="C32" s="2" t="s">
        <v>391</v>
      </c>
      <c r="D32" s="2">
        <v>44792.0</v>
      </c>
    </row>
    <row r="33">
      <c r="A33" s="4" t="s">
        <v>80</v>
      </c>
      <c r="B33" s="2" t="s">
        <v>392</v>
      </c>
      <c r="C33" s="2" t="s">
        <v>391</v>
      </c>
      <c r="D33" s="2">
        <v>21434.0</v>
      </c>
    </row>
    <row r="34">
      <c r="A34" s="4" t="s">
        <v>80</v>
      </c>
      <c r="B34" s="2" t="s">
        <v>393</v>
      </c>
      <c r="C34" s="2" t="s">
        <v>394</v>
      </c>
      <c r="D34" s="2">
        <v>552.0</v>
      </c>
    </row>
    <row r="35">
      <c r="A35" s="4" t="s">
        <v>24</v>
      </c>
      <c r="B35" s="2" t="s">
        <v>395</v>
      </c>
      <c r="C35" s="2" t="s">
        <v>394</v>
      </c>
      <c r="D35" s="2">
        <v>570.0</v>
      </c>
    </row>
    <row r="36">
      <c r="A36" s="4" t="s">
        <v>80</v>
      </c>
      <c r="B36" s="2" t="s">
        <v>396</v>
      </c>
      <c r="C36" s="2" t="s">
        <v>394</v>
      </c>
      <c r="D36" s="2">
        <v>1140.0</v>
      </c>
    </row>
    <row r="37">
      <c r="A37" s="4" t="s">
        <v>87</v>
      </c>
      <c r="B37" s="2" t="s">
        <v>397</v>
      </c>
      <c r="C37" s="2" t="s">
        <v>391</v>
      </c>
      <c r="D37" s="2">
        <v>65755.0</v>
      </c>
    </row>
    <row r="38">
      <c r="A38" s="4" t="s">
        <v>18</v>
      </c>
      <c r="B38" s="2" t="s">
        <v>398</v>
      </c>
      <c r="C38" s="2" t="s">
        <v>394</v>
      </c>
      <c r="D38" s="2">
        <v>3965.0</v>
      </c>
    </row>
    <row r="39">
      <c r="A39" s="4" t="s">
        <v>87</v>
      </c>
      <c r="B39" s="2" t="s">
        <v>399</v>
      </c>
      <c r="C39" s="2" t="s">
        <v>391</v>
      </c>
      <c r="D39" s="2">
        <v>49445.0</v>
      </c>
    </row>
    <row r="40">
      <c r="A40" s="4" t="s">
        <v>15</v>
      </c>
      <c r="B40" s="2" t="s">
        <v>400</v>
      </c>
      <c r="C40" s="2" t="s">
        <v>394</v>
      </c>
      <c r="D40" s="2">
        <v>4000.0</v>
      </c>
    </row>
    <row r="41">
      <c r="A41" s="4" t="s">
        <v>21</v>
      </c>
      <c r="B41" s="2" t="s">
        <v>401</v>
      </c>
      <c r="C41" s="2" t="s">
        <v>391</v>
      </c>
      <c r="D41" s="2">
        <v>29472.0</v>
      </c>
    </row>
    <row r="42">
      <c r="A42" s="4" t="s">
        <v>31</v>
      </c>
      <c r="B42" s="2" t="s">
        <v>390</v>
      </c>
      <c r="C42" s="2" t="s">
        <v>391</v>
      </c>
      <c r="D42" s="2">
        <v>45549.0</v>
      </c>
    </row>
    <row r="43">
      <c r="A43" s="4" t="s">
        <v>65</v>
      </c>
      <c r="B43" s="2" t="s">
        <v>392</v>
      </c>
      <c r="C43" s="2" t="s">
        <v>391</v>
      </c>
      <c r="D43" s="2">
        <v>41663.0</v>
      </c>
    </row>
    <row r="44">
      <c r="A44" s="4" t="s">
        <v>18</v>
      </c>
      <c r="B44" s="2" t="s">
        <v>393</v>
      </c>
      <c r="C44" s="2" t="s">
        <v>394</v>
      </c>
      <c r="D44" s="2">
        <v>2475.0</v>
      </c>
    </row>
    <row r="45">
      <c r="A45" s="4" t="s">
        <v>21</v>
      </c>
      <c r="B45" s="2" t="s">
        <v>395</v>
      </c>
      <c r="C45" s="2" t="s">
        <v>394</v>
      </c>
      <c r="D45" s="2">
        <v>2760.0</v>
      </c>
    </row>
    <row r="46">
      <c r="A46" s="4" t="s">
        <v>80</v>
      </c>
      <c r="B46" s="2" t="s">
        <v>396</v>
      </c>
      <c r="C46" s="2" t="s">
        <v>394</v>
      </c>
      <c r="D46" s="2">
        <v>915.0</v>
      </c>
    </row>
    <row r="47">
      <c r="A47" s="4" t="s">
        <v>104</v>
      </c>
      <c r="B47" s="2" t="s">
        <v>397</v>
      </c>
      <c r="C47" s="2" t="s">
        <v>391</v>
      </c>
      <c r="D47" s="2">
        <v>61889.0</v>
      </c>
    </row>
    <row r="48">
      <c r="A48" s="4" t="s">
        <v>24</v>
      </c>
      <c r="B48" s="2" t="s">
        <v>398</v>
      </c>
      <c r="C48" s="2" t="s">
        <v>394</v>
      </c>
      <c r="D48" s="2">
        <v>880.0</v>
      </c>
    </row>
    <row r="49">
      <c r="A49" s="4" t="s">
        <v>29</v>
      </c>
      <c r="B49" s="2" t="s">
        <v>399</v>
      </c>
      <c r="C49" s="2" t="s">
        <v>391</v>
      </c>
      <c r="D49" s="2">
        <v>48335.0</v>
      </c>
    </row>
    <row r="50">
      <c r="A50" s="4" t="s">
        <v>104</v>
      </c>
      <c r="B50" s="2" t="s">
        <v>400</v>
      </c>
      <c r="C50" s="2" t="s">
        <v>394</v>
      </c>
      <c r="D50" s="2">
        <v>846.0</v>
      </c>
    </row>
    <row r="51">
      <c r="A51" s="4" t="s">
        <v>70</v>
      </c>
      <c r="B51" s="2" t="s">
        <v>401</v>
      </c>
      <c r="C51" s="2" t="s">
        <v>391</v>
      </c>
      <c r="D51" s="2">
        <v>32696.0</v>
      </c>
    </row>
    <row r="52">
      <c r="A52" s="4" t="s">
        <v>70</v>
      </c>
      <c r="B52" s="2" t="s">
        <v>390</v>
      </c>
      <c r="C52" s="2" t="s">
        <v>391</v>
      </c>
      <c r="D52" s="2">
        <v>49545.0</v>
      </c>
    </row>
    <row r="53">
      <c r="A53" s="4" t="s">
        <v>24</v>
      </c>
      <c r="B53" s="2" t="s">
        <v>392</v>
      </c>
      <c r="C53" s="2" t="s">
        <v>391</v>
      </c>
      <c r="D53" s="2">
        <v>50150.0</v>
      </c>
    </row>
    <row r="54">
      <c r="A54" s="4" t="s">
        <v>43</v>
      </c>
      <c r="B54" s="2" t="s">
        <v>393</v>
      </c>
      <c r="C54" s="2" t="s">
        <v>394</v>
      </c>
      <c r="D54" s="2">
        <v>4114.0</v>
      </c>
    </row>
    <row r="55">
      <c r="A55" s="4" t="s">
        <v>65</v>
      </c>
      <c r="B55" s="2" t="s">
        <v>395</v>
      </c>
      <c r="C55" s="2" t="s">
        <v>394</v>
      </c>
      <c r="D55" s="2">
        <v>4065.0</v>
      </c>
    </row>
    <row r="56">
      <c r="A56" s="4" t="s">
        <v>21</v>
      </c>
      <c r="B56" s="2" t="s">
        <v>396</v>
      </c>
      <c r="C56" s="2" t="s">
        <v>394</v>
      </c>
      <c r="D56" s="2">
        <v>2365.0</v>
      </c>
    </row>
    <row r="57">
      <c r="A57" s="4" t="s">
        <v>49</v>
      </c>
      <c r="B57" s="2" t="s">
        <v>397</v>
      </c>
      <c r="C57" s="2" t="s">
        <v>391</v>
      </c>
      <c r="D57" s="2">
        <v>57045.0</v>
      </c>
    </row>
    <row r="58">
      <c r="A58" s="4" t="s">
        <v>15</v>
      </c>
      <c r="B58" s="2" t="s">
        <v>398</v>
      </c>
      <c r="C58" s="2" t="s">
        <v>394</v>
      </c>
      <c r="D58" s="2">
        <v>2814.0</v>
      </c>
    </row>
    <row r="59">
      <c r="A59" s="4" t="s">
        <v>24</v>
      </c>
      <c r="B59" s="2" t="s">
        <v>399</v>
      </c>
      <c r="C59" s="2" t="s">
        <v>391</v>
      </c>
      <c r="D59" s="2">
        <v>17726.0</v>
      </c>
    </row>
    <row r="60">
      <c r="A60" s="4" t="s">
        <v>24</v>
      </c>
      <c r="B60" s="2" t="s">
        <v>400</v>
      </c>
      <c r="C60" s="2" t="s">
        <v>394</v>
      </c>
      <c r="D60" s="2">
        <v>713.0</v>
      </c>
    </row>
    <row r="61">
      <c r="A61" s="4" t="s">
        <v>24</v>
      </c>
      <c r="B61" s="2" t="s">
        <v>401</v>
      </c>
      <c r="C61" s="2" t="s">
        <v>391</v>
      </c>
      <c r="D61" s="2">
        <v>54163.0</v>
      </c>
    </row>
    <row r="62">
      <c r="A62" s="4" t="s">
        <v>35</v>
      </c>
      <c r="B62" s="2" t="s">
        <v>390</v>
      </c>
      <c r="C62" s="2" t="s">
        <v>391</v>
      </c>
      <c r="D62" s="2">
        <v>28826.0</v>
      </c>
    </row>
    <row r="63">
      <c r="A63" s="4" t="s">
        <v>57</v>
      </c>
      <c r="B63" s="2" t="s">
        <v>392</v>
      </c>
      <c r="C63" s="2" t="s">
        <v>391</v>
      </c>
      <c r="D63" s="2">
        <v>40798.0</v>
      </c>
    </row>
    <row r="64">
      <c r="A64" s="4" t="s">
        <v>43</v>
      </c>
      <c r="B64" s="2" t="s">
        <v>393</v>
      </c>
      <c r="C64" s="2" t="s">
        <v>394</v>
      </c>
      <c r="D64" s="2">
        <v>669.0</v>
      </c>
    </row>
    <row r="65">
      <c r="A65" s="4" t="s">
        <v>104</v>
      </c>
      <c r="B65" s="2" t="s">
        <v>395</v>
      </c>
      <c r="C65" s="2" t="s">
        <v>394</v>
      </c>
      <c r="D65" s="2">
        <v>3226.0</v>
      </c>
    </row>
    <row r="66">
      <c r="A66" s="4" t="s">
        <v>40</v>
      </c>
      <c r="B66" s="2" t="s">
        <v>396</v>
      </c>
      <c r="C66" s="2" t="s">
        <v>394</v>
      </c>
      <c r="D66" s="2">
        <v>3235.0</v>
      </c>
    </row>
    <row r="67">
      <c r="A67" s="4" t="s">
        <v>57</v>
      </c>
      <c r="B67" s="2" t="s">
        <v>397</v>
      </c>
      <c r="C67" s="2" t="s">
        <v>391</v>
      </c>
      <c r="D67" s="2">
        <v>57434.0</v>
      </c>
    </row>
    <row r="68">
      <c r="A68" s="4" t="s">
        <v>49</v>
      </c>
      <c r="B68" s="2" t="s">
        <v>398</v>
      </c>
      <c r="C68" s="2" t="s">
        <v>394</v>
      </c>
      <c r="D68" s="2">
        <v>907.0</v>
      </c>
    </row>
    <row r="69">
      <c r="A69" s="4" t="s">
        <v>70</v>
      </c>
      <c r="B69" s="2" t="s">
        <v>399</v>
      </c>
      <c r="C69" s="2" t="s">
        <v>391</v>
      </c>
      <c r="D69" s="2">
        <v>38920.0</v>
      </c>
    </row>
    <row r="70">
      <c r="A70" s="4" t="s">
        <v>87</v>
      </c>
      <c r="B70" s="2" t="s">
        <v>400</v>
      </c>
      <c r="C70" s="2" t="s">
        <v>394</v>
      </c>
      <c r="D70" s="2">
        <v>3059.0</v>
      </c>
    </row>
    <row r="71">
      <c r="A71" s="4" t="s">
        <v>12</v>
      </c>
      <c r="B71" s="2" t="s">
        <v>401</v>
      </c>
      <c r="C71" s="2" t="s">
        <v>391</v>
      </c>
      <c r="D71" s="2">
        <v>63129.0</v>
      </c>
    </row>
    <row r="72">
      <c r="A72" s="4" t="s">
        <v>70</v>
      </c>
      <c r="B72" s="2" t="s">
        <v>390</v>
      </c>
      <c r="C72" s="2" t="s">
        <v>391</v>
      </c>
      <c r="D72" s="2">
        <v>57625.0</v>
      </c>
    </row>
    <row r="73">
      <c r="A73" s="4" t="s">
        <v>104</v>
      </c>
      <c r="B73" s="2" t="s">
        <v>392</v>
      </c>
      <c r="C73" s="2" t="s">
        <v>391</v>
      </c>
      <c r="D73" s="2">
        <v>42987.0</v>
      </c>
    </row>
    <row r="74">
      <c r="A74" s="4" t="s">
        <v>35</v>
      </c>
      <c r="B74" s="2" t="s">
        <v>393</v>
      </c>
      <c r="C74" s="2" t="s">
        <v>394</v>
      </c>
      <c r="D74" s="2">
        <v>800.0</v>
      </c>
    </row>
    <row r="75">
      <c r="A75" s="4" t="s">
        <v>21</v>
      </c>
      <c r="B75" s="2" t="s">
        <v>395</v>
      </c>
      <c r="C75" s="2" t="s">
        <v>394</v>
      </c>
      <c r="D75" s="2">
        <v>3916.0</v>
      </c>
    </row>
    <row r="76">
      <c r="A76" s="4" t="s">
        <v>49</v>
      </c>
      <c r="B76" s="2" t="s">
        <v>396</v>
      </c>
      <c r="C76" s="2" t="s">
        <v>394</v>
      </c>
      <c r="D76" s="2">
        <v>4466.0</v>
      </c>
    </row>
    <row r="77">
      <c r="A77" s="4" t="s">
        <v>75</v>
      </c>
      <c r="B77" s="2" t="s">
        <v>397</v>
      </c>
      <c r="C77" s="2" t="s">
        <v>391</v>
      </c>
      <c r="D77" s="2">
        <v>54237.0</v>
      </c>
    </row>
    <row r="78">
      <c r="A78" s="4" t="s">
        <v>31</v>
      </c>
      <c r="B78" s="2" t="s">
        <v>398</v>
      </c>
      <c r="C78" s="2" t="s">
        <v>394</v>
      </c>
      <c r="D78" s="2">
        <v>1093.0</v>
      </c>
    </row>
    <row r="79">
      <c r="A79" s="4" t="s">
        <v>21</v>
      </c>
      <c r="B79" s="2" t="s">
        <v>399</v>
      </c>
      <c r="C79" s="2" t="s">
        <v>391</v>
      </c>
      <c r="D79" s="2">
        <v>55708.0</v>
      </c>
    </row>
    <row r="80">
      <c r="A80" s="4" t="s">
        <v>151</v>
      </c>
      <c r="B80" s="2" t="s">
        <v>400</v>
      </c>
      <c r="C80" s="2" t="s">
        <v>394</v>
      </c>
      <c r="D80" s="2">
        <v>3985.0</v>
      </c>
    </row>
    <row r="81">
      <c r="A81" s="4" t="s">
        <v>104</v>
      </c>
      <c r="B81" s="2" t="s">
        <v>401</v>
      </c>
      <c r="C81" s="2" t="s">
        <v>391</v>
      </c>
      <c r="D81" s="2">
        <v>29240.0</v>
      </c>
    </row>
    <row r="82">
      <c r="A82" s="4" t="s">
        <v>75</v>
      </c>
      <c r="B82" s="2" t="s">
        <v>390</v>
      </c>
      <c r="C82" s="2" t="s">
        <v>391</v>
      </c>
      <c r="D82" s="2">
        <v>30320.0</v>
      </c>
    </row>
    <row r="83">
      <c r="A83" s="4" t="s">
        <v>87</v>
      </c>
      <c r="B83" s="2" t="s">
        <v>392</v>
      </c>
      <c r="C83" s="2" t="s">
        <v>391</v>
      </c>
      <c r="D83" s="2">
        <v>20484.0</v>
      </c>
    </row>
    <row r="84">
      <c r="A84" s="4" t="s">
        <v>70</v>
      </c>
      <c r="B84" s="2" t="s">
        <v>393</v>
      </c>
      <c r="C84" s="2" t="s">
        <v>394</v>
      </c>
      <c r="D84" s="2">
        <v>535.0</v>
      </c>
    </row>
    <row r="85">
      <c r="A85" s="4" t="s">
        <v>87</v>
      </c>
      <c r="B85" s="2" t="s">
        <v>395</v>
      </c>
      <c r="C85" s="2" t="s">
        <v>394</v>
      </c>
      <c r="D85" s="2">
        <v>1319.0</v>
      </c>
    </row>
    <row r="86">
      <c r="A86" s="4" t="s">
        <v>55</v>
      </c>
      <c r="B86" s="2" t="s">
        <v>396</v>
      </c>
      <c r="C86" s="2" t="s">
        <v>394</v>
      </c>
      <c r="D86" s="2">
        <v>1652.0</v>
      </c>
    </row>
    <row r="87">
      <c r="A87" s="4" t="s">
        <v>35</v>
      </c>
      <c r="B87" s="2" t="s">
        <v>397</v>
      </c>
      <c r="C87" s="2" t="s">
        <v>391</v>
      </c>
      <c r="D87" s="2">
        <v>44114.0</v>
      </c>
    </row>
    <row r="88">
      <c r="A88" s="4" t="s">
        <v>57</v>
      </c>
      <c r="B88" s="2" t="s">
        <v>398</v>
      </c>
      <c r="C88" s="2" t="s">
        <v>394</v>
      </c>
      <c r="D88" s="2">
        <v>1058.0</v>
      </c>
    </row>
    <row r="89">
      <c r="A89" s="4" t="s">
        <v>70</v>
      </c>
      <c r="B89" s="2" t="s">
        <v>399</v>
      </c>
      <c r="C89" s="2" t="s">
        <v>391</v>
      </c>
      <c r="D89" s="2">
        <v>49076.0</v>
      </c>
    </row>
    <row r="90">
      <c r="A90" s="4" t="s">
        <v>49</v>
      </c>
      <c r="B90" s="2" t="s">
        <v>400</v>
      </c>
      <c r="C90" s="2" t="s">
        <v>394</v>
      </c>
      <c r="D90" s="2">
        <v>2727.0</v>
      </c>
    </row>
    <row r="91">
      <c r="A91" s="4" t="s">
        <v>15</v>
      </c>
      <c r="B91" s="2" t="s">
        <v>401</v>
      </c>
      <c r="C91" s="2" t="s">
        <v>391</v>
      </c>
      <c r="D91" s="2">
        <v>31643.0</v>
      </c>
    </row>
    <row r="92">
      <c r="A92" s="4" t="s">
        <v>65</v>
      </c>
      <c r="B92" s="2" t="s">
        <v>390</v>
      </c>
      <c r="C92" s="2" t="s">
        <v>391</v>
      </c>
      <c r="D92" s="2">
        <v>62194.0</v>
      </c>
    </row>
    <row r="93">
      <c r="A93" s="4" t="s">
        <v>12</v>
      </c>
      <c r="B93" s="2" t="s">
        <v>392</v>
      </c>
      <c r="C93" s="2" t="s">
        <v>391</v>
      </c>
      <c r="D93" s="2">
        <v>22676.0</v>
      </c>
    </row>
    <row r="94">
      <c r="A94" s="4" t="s">
        <v>18</v>
      </c>
      <c r="B94" s="2" t="s">
        <v>393</v>
      </c>
      <c r="C94" s="2" t="s">
        <v>394</v>
      </c>
      <c r="D94" s="2">
        <v>1474.0</v>
      </c>
    </row>
    <row r="95">
      <c r="A95" s="4" t="s">
        <v>55</v>
      </c>
      <c r="B95" s="2" t="s">
        <v>395</v>
      </c>
      <c r="C95" s="2" t="s">
        <v>394</v>
      </c>
      <c r="D95" s="2">
        <v>3990.0</v>
      </c>
    </row>
    <row r="96">
      <c r="A96" s="4" t="s">
        <v>24</v>
      </c>
      <c r="B96" s="2" t="s">
        <v>396</v>
      </c>
      <c r="C96" s="2" t="s">
        <v>394</v>
      </c>
      <c r="D96" s="2">
        <v>2667.0</v>
      </c>
    </row>
    <row r="97">
      <c r="A97" s="4" t="s">
        <v>57</v>
      </c>
      <c r="B97" s="2" t="s">
        <v>397</v>
      </c>
      <c r="C97" s="2" t="s">
        <v>391</v>
      </c>
      <c r="D97" s="2">
        <v>55973.0</v>
      </c>
    </row>
    <row r="98">
      <c r="A98" s="4" t="s">
        <v>21</v>
      </c>
      <c r="B98" s="2" t="s">
        <v>398</v>
      </c>
      <c r="C98" s="2" t="s">
        <v>394</v>
      </c>
      <c r="D98" s="2">
        <v>4178.0</v>
      </c>
    </row>
    <row r="99">
      <c r="A99" s="4" t="s">
        <v>80</v>
      </c>
      <c r="B99" s="2" t="s">
        <v>399</v>
      </c>
      <c r="C99" s="2" t="s">
        <v>391</v>
      </c>
      <c r="D99" s="2">
        <v>20534.0</v>
      </c>
    </row>
    <row r="100">
      <c r="A100" s="4" t="s">
        <v>31</v>
      </c>
      <c r="B100" s="2" t="s">
        <v>400</v>
      </c>
      <c r="C100" s="2" t="s">
        <v>394</v>
      </c>
      <c r="D100" s="2">
        <v>4386.0</v>
      </c>
    </row>
    <row r="101">
      <c r="A101" s="4" t="s">
        <v>40</v>
      </c>
      <c r="B101" s="2" t="s">
        <v>401</v>
      </c>
      <c r="C101" s="2" t="s">
        <v>391</v>
      </c>
      <c r="D101" s="2">
        <v>29192.0</v>
      </c>
    </row>
    <row r="102">
      <c r="A102" s="4" t="s">
        <v>104</v>
      </c>
      <c r="B102" s="2" t="s">
        <v>390</v>
      </c>
      <c r="C102" s="2" t="s">
        <v>391</v>
      </c>
      <c r="D102" s="2">
        <v>19031.0</v>
      </c>
    </row>
    <row r="103">
      <c r="A103" s="4" t="s">
        <v>21</v>
      </c>
      <c r="B103" s="2" t="s">
        <v>392</v>
      </c>
      <c r="C103" s="2" t="s">
        <v>391</v>
      </c>
      <c r="D103" s="2">
        <v>29524.0</v>
      </c>
    </row>
    <row r="104">
      <c r="A104" s="4" t="s">
        <v>151</v>
      </c>
      <c r="B104" s="2" t="s">
        <v>393</v>
      </c>
      <c r="C104" s="2" t="s">
        <v>394</v>
      </c>
      <c r="D104" s="2">
        <v>1993.0</v>
      </c>
    </row>
    <row r="105">
      <c r="A105" s="4" t="s">
        <v>31</v>
      </c>
      <c r="B105" s="2" t="s">
        <v>395</v>
      </c>
      <c r="C105" s="2" t="s">
        <v>394</v>
      </c>
      <c r="D105" s="2">
        <v>2966.0</v>
      </c>
    </row>
    <row r="106">
      <c r="A106" s="4" t="s">
        <v>75</v>
      </c>
      <c r="B106" s="2" t="s">
        <v>396</v>
      </c>
      <c r="C106" s="2" t="s">
        <v>394</v>
      </c>
      <c r="D106" s="2">
        <v>3287.0</v>
      </c>
    </row>
    <row r="107">
      <c r="A107" s="4" t="s">
        <v>104</v>
      </c>
      <c r="B107" s="2" t="s">
        <v>397</v>
      </c>
      <c r="C107" s="2" t="s">
        <v>391</v>
      </c>
      <c r="D107" s="2">
        <v>38204.0</v>
      </c>
    </row>
    <row r="108">
      <c r="A108" s="4" t="s">
        <v>151</v>
      </c>
      <c r="B108" s="2" t="s">
        <v>398</v>
      </c>
      <c r="C108" s="2" t="s">
        <v>394</v>
      </c>
      <c r="D108" s="2">
        <v>1250.0</v>
      </c>
    </row>
    <row r="109">
      <c r="A109" s="4" t="s">
        <v>49</v>
      </c>
      <c r="B109" s="2" t="s">
        <v>399</v>
      </c>
      <c r="C109" s="2" t="s">
        <v>391</v>
      </c>
      <c r="D109" s="2">
        <v>17079.0</v>
      </c>
    </row>
    <row r="110">
      <c r="A110" s="4" t="s">
        <v>24</v>
      </c>
      <c r="B110" s="2" t="s">
        <v>400</v>
      </c>
      <c r="C110" s="2" t="s">
        <v>394</v>
      </c>
      <c r="D110" s="2">
        <v>1941.0</v>
      </c>
    </row>
    <row r="111">
      <c r="A111" s="4" t="s">
        <v>40</v>
      </c>
      <c r="B111" s="2" t="s">
        <v>401</v>
      </c>
      <c r="C111" s="2" t="s">
        <v>391</v>
      </c>
      <c r="D111" s="2">
        <v>20769.0</v>
      </c>
    </row>
    <row r="112">
      <c r="A112" s="4" t="s">
        <v>80</v>
      </c>
      <c r="B112" s="2" t="s">
        <v>390</v>
      </c>
      <c r="C112" s="2" t="s">
        <v>391</v>
      </c>
      <c r="D112" s="2">
        <v>34429.0</v>
      </c>
    </row>
    <row r="113">
      <c r="A113" s="4" t="s">
        <v>49</v>
      </c>
      <c r="B113" s="2" t="s">
        <v>392</v>
      </c>
      <c r="C113" s="2" t="s">
        <v>391</v>
      </c>
      <c r="D113" s="2">
        <v>66622.0</v>
      </c>
    </row>
    <row r="114">
      <c r="A114" s="4" t="s">
        <v>80</v>
      </c>
      <c r="B114" s="2" t="s">
        <v>393</v>
      </c>
      <c r="C114" s="2" t="s">
        <v>394</v>
      </c>
      <c r="D114" s="2">
        <v>3561.0</v>
      </c>
    </row>
    <row r="115">
      <c r="A115" s="4" t="s">
        <v>55</v>
      </c>
      <c r="B115" s="2" t="s">
        <v>395</v>
      </c>
      <c r="C115" s="2" t="s">
        <v>394</v>
      </c>
      <c r="D115" s="2">
        <v>2633.0</v>
      </c>
    </row>
    <row r="116">
      <c r="A116" s="4" t="s">
        <v>40</v>
      </c>
      <c r="B116" s="2" t="s">
        <v>396</v>
      </c>
      <c r="C116" s="2" t="s">
        <v>394</v>
      </c>
      <c r="D116" s="2">
        <v>4371.0</v>
      </c>
    </row>
    <row r="117">
      <c r="A117" s="4" t="s">
        <v>65</v>
      </c>
      <c r="B117" s="2" t="s">
        <v>397</v>
      </c>
      <c r="C117" s="2" t="s">
        <v>391</v>
      </c>
      <c r="D117" s="2">
        <v>20886.0</v>
      </c>
    </row>
    <row r="118">
      <c r="A118" s="4" t="s">
        <v>18</v>
      </c>
      <c r="B118" s="2" t="s">
        <v>398</v>
      </c>
      <c r="C118" s="2" t="s">
        <v>394</v>
      </c>
      <c r="D118" s="2">
        <v>3184.0</v>
      </c>
    </row>
    <row r="119">
      <c r="A119" s="4" t="s">
        <v>12</v>
      </c>
      <c r="B119" s="2" t="s">
        <v>399</v>
      </c>
      <c r="C119" s="2" t="s">
        <v>391</v>
      </c>
      <c r="D119" s="2">
        <v>33154.0</v>
      </c>
    </row>
    <row r="120">
      <c r="A120" s="4" t="s">
        <v>151</v>
      </c>
      <c r="B120" s="2" t="s">
        <v>400</v>
      </c>
      <c r="C120" s="2" t="s">
        <v>394</v>
      </c>
      <c r="D120" s="2">
        <v>3035.0</v>
      </c>
    </row>
    <row r="121">
      <c r="A121" s="4" t="s">
        <v>49</v>
      </c>
      <c r="B121" s="2" t="s">
        <v>401</v>
      </c>
      <c r="C121" s="2" t="s">
        <v>391</v>
      </c>
      <c r="D121" s="2">
        <v>64454.0</v>
      </c>
    </row>
    <row r="122">
      <c r="A122" s="4" t="s">
        <v>151</v>
      </c>
      <c r="B122" s="2" t="s">
        <v>390</v>
      </c>
      <c r="C122" s="2" t="s">
        <v>391</v>
      </c>
      <c r="D122" s="2">
        <v>49599.0</v>
      </c>
    </row>
    <row r="123">
      <c r="A123" s="4" t="s">
        <v>151</v>
      </c>
      <c r="B123" s="2" t="s">
        <v>392</v>
      </c>
      <c r="C123" s="2" t="s">
        <v>391</v>
      </c>
      <c r="D123" s="2">
        <v>13867.0</v>
      </c>
    </row>
    <row r="124">
      <c r="A124" s="4" t="s">
        <v>80</v>
      </c>
      <c r="B124" s="2" t="s">
        <v>393</v>
      </c>
      <c r="C124" s="2" t="s">
        <v>394</v>
      </c>
      <c r="D124" s="2">
        <v>3582.0</v>
      </c>
    </row>
    <row r="125">
      <c r="A125" s="4" t="s">
        <v>24</v>
      </c>
      <c r="B125" s="2" t="s">
        <v>395</v>
      </c>
      <c r="C125" s="2" t="s">
        <v>394</v>
      </c>
      <c r="D125" s="2">
        <v>2894.0</v>
      </c>
    </row>
    <row r="126">
      <c r="A126" s="4" t="s">
        <v>87</v>
      </c>
      <c r="B126" s="2" t="s">
        <v>396</v>
      </c>
      <c r="C126" s="2" t="s">
        <v>394</v>
      </c>
      <c r="D126" s="2">
        <v>3179.0</v>
      </c>
    </row>
    <row r="127">
      <c r="A127" s="4" t="s">
        <v>43</v>
      </c>
      <c r="B127" s="2" t="s">
        <v>397</v>
      </c>
      <c r="C127" s="2" t="s">
        <v>391</v>
      </c>
      <c r="D127" s="2">
        <v>13977.0</v>
      </c>
    </row>
    <row r="128">
      <c r="A128" s="4" t="s">
        <v>75</v>
      </c>
      <c r="B128" s="2" t="s">
        <v>398</v>
      </c>
      <c r="C128" s="2" t="s">
        <v>394</v>
      </c>
      <c r="D128" s="2">
        <v>1966.0</v>
      </c>
    </row>
    <row r="129">
      <c r="A129" s="4" t="s">
        <v>80</v>
      </c>
      <c r="B129" s="2" t="s">
        <v>399</v>
      </c>
      <c r="C129" s="2" t="s">
        <v>391</v>
      </c>
      <c r="D129" s="2">
        <v>62931.0</v>
      </c>
    </row>
    <row r="130">
      <c r="A130" s="4" t="s">
        <v>57</v>
      </c>
      <c r="B130" s="2" t="s">
        <v>400</v>
      </c>
      <c r="C130" s="2" t="s">
        <v>394</v>
      </c>
      <c r="D130" s="2">
        <v>3433.0</v>
      </c>
    </row>
    <row r="131">
      <c r="A131" s="4" t="s">
        <v>70</v>
      </c>
      <c r="B131" s="2" t="s">
        <v>401</v>
      </c>
      <c r="C131" s="2" t="s">
        <v>391</v>
      </c>
      <c r="D131" s="2">
        <v>34893.0</v>
      </c>
    </row>
    <row r="132">
      <c r="A132" s="4" t="s">
        <v>65</v>
      </c>
      <c r="B132" s="2" t="s">
        <v>390</v>
      </c>
      <c r="C132" s="2" t="s">
        <v>391</v>
      </c>
      <c r="D132" s="2">
        <v>54808.0</v>
      </c>
    </row>
    <row r="133">
      <c r="A133" s="4" t="s">
        <v>104</v>
      </c>
      <c r="B133" s="2" t="s">
        <v>392</v>
      </c>
      <c r="C133" s="2" t="s">
        <v>391</v>
      </c>
      <c r="D133" s="2">
        <v>66660.0</v>
      </c>
    </row>
    <row r="134">
      <c r="A134" s="4" t="s">
        <v>43</v>
      </c>
      <c r="B134" s="2" t="s">
        <v>393</v>
      </c>
      <c r="C134" s="2" t="s">
        <v>394</v>
      </c>
      <c r="D134" s="2">
        <v>1405.0</v>
      </c>
    </row>
    <row r="135">
      <c r="A135" s="4" t="s">
        <v>40</v>
      </c>
      <c r="B135" s="2" t="s">
        <v>395</v>
      </c>
      <c r="C135" s="2" t="s">
        <v>394</v>
      </c>
      <c r="D135" s="2">
        <v>3635.0</v>
      </c>
    </row>
    <row r="136">
      <c r="A136" s="4" t="s">
        <v>40</v>
      </c>
      <c r="B136" s="2" t="s">
        <v>396</v>
      </c>
      <c r="C136" s="2" t="s">
        <v>394</v>
      </c>
      <c r="D136" s="2">
        <v>2325.0</v>
      </c>
    </row>
    <row r="137">
      <c r="A137" s="4" t="s">
        <v>12</v>
      </c>
      <c r="B137" s="2" t="s">
        <v>397</v>
      </c>
      <c r="C137" s="2" t="s">
        <v>391</v>
      </c>
      <c r="D137" s="2">
        <v>54308.0</v>
      </c>
    </row>
    <row r="138">
      <c r="A138" s="4" t="s">
        <v>75</v>
      </c>
      <c r="B138" s="2" t="s">
        <v>398</v>
      </c>
      <c r="C138" s="2" t="s">
        <v>394</v>
      </c>
      <c r="D138" s="2">
        <v>2431.0</v>
      </c>
    </row>
    <row r="139">
      <c r="A139" s="4" t="s">
        <v>40</v>
      </c>
      <c r="B139" s="2" t="s">
        <v>399</v>
      </c>
      <c r="C139" s="2" t="s">
        <v>391</v>
      </c>
      <c r="D139" s="2">
        <v>46378.0</v>
      </c>
    </row>
    <row r="140">
      <c r="A140" s="4" t="s">
        <v>55</v>
      </c>
      <c r="B140" s="2" t="s">
        <v>400</v>
      </c>
      <c r="C140" s="2" t="s">
        <v>394</v>
      </c>
      <c r="D140" s="2">
        <v>4022.0</v>
      </c>
    </row>
    <row r="141">
      <c r="A141" s="4" t="s">
        <v>55</v>
      </c>
      <c r="B141" s="2" t="s">
        <v>401</v>
      </c>
      <c r="C141" s="2" t="s">
        <v>391</v>
      </c>
      <c r="D141" s="2">
        <v>41890.0</v>
      </c>
    </row>
    <row r="142">
      <c r="A142" s="4" t="s">
        <v>104</v>
      </c>
      <c r="B142" s="2" t="s">
        <v>390</v>
      </c>
      <c r="C142" s="2" t="s">
        <v>391</v>
      </c>
      <c r="D142" s="2">
        <v>59366.0</v>
      </c>
    </row>
    <row r="143">
      <c r="A143" s="4" t="s">
        <v>15</v>
      </c>
      <c r="B143" s="2" t="s">
        <v>392</v>
      </c>
      <c r="C143" s="2" t="s">
        <v>391</v>
      </c>
      <c r="D143" s="2">
        <v>46425.0</v>
      </c>
    </row>
    <row r="144">
      <c r="A144" s="4" t="s">
        <v>21</v>
      </c>
      <c r="B144" s="2" t="s">
        <v>393</v>
      </c>
      <c r="C144" s="2" t="s">
        <v>394</v>
      </c>
      <c r="D144" s="2">
        <v>1279.0</v>
      </c>
    </row>
    <row r="145">
      <c r="A145" s="4" t="s">
        <v>35</v>
      </c>
      <c r="B145" s="2" t="s">
        <v>395</v>
      </c>
      <c r="C145" s="2" t="s">
        <v>394</v>
      </c>
      <c r="D145" s="2">
        <v>2747.0</v>
      </c>
    </row>
    <row r="146">
      <c r="A146" s="4" t="s">
        <v>70</v>
      </c>
      <c r="B146" s="2" t="s">
        <v>396</v>
      </c>
      <c r="C146" s="2" t="s">
        <v>394</v>
      </c>
      <c r="D146" s="2">
        <v>3016.0</v>
      </c>
    </row>
    <row r="147">
      <c r="A147" s="4" t="s">
        <v>31</v>
      </c>
      <c r="B147" s="2" t="s">
        <v>397</v>
      </c>
      <c r="C147" s="2" t="s">
        <v>391</v>
      </c>
      <c r="D147" s="2">
        <v>29807.0</v>
      </c>
    </row>
    <row r="148">
      <c r="A148" s="4" t="s">
        <v>18</v>
      </c>
      <c r="B148" s="2" t="s">
        <v>398</v>
      </c>
      <c r="C148" s="2" t="s">
        <v>394</v>
      </c>
      <c r="D148" s="2">
        <v>773.0</v>
      </c>
    </row>
    <row r="149">
      <c r="A149" s="4" t="s">
        <v>65</v>
      </c>
      <c r="B149" s="2" t="s">
        <v>399</v>
      </c>
      <c r="C149" s="2" t="s">
        <v>391</v>
      </c>
      <c r="D149" s="2">
        <v>67073.0</v>
      </c>
    </row>
    <row r="150">
      <c r="A150" s="4" t="s">
        <v>104</v>
      </c>
      <c r="B150" s="2" t="s">
        <v>400</v>
      </c>
      <c r="C150" s="2" t="s">
        <v>394</v>
      </c>
      <c r="D150" s="2">
        <v>3885.0</v>
      </c>
    </row>
    <row r="151">
      <c r="A151" s="4" t="s">
        <v>57</v>
      </c>
      <c r="B151" s="2" t="s">
        <v>401</v>
      </c>
      <c r="C151" s="2" t="s">
        <v>391</v>
      </c>
      <c r="D151" s="2">
        <v>42496.0</v>
      </c>
    </row>
    <row r="152">
      <c r="A152" s="4" t="s">
        <v>70</v>
      </c>
      <c r="B152" s="2" t="s">
        <v>390</v>
      </c>
      <c r="C152" s="2" t="s">
        <v>391</v>
      </c>
      <c r="D152" s="2">
        <v>22401.0</v>
      </c>
    </row>
    <row r="153">
      <c r="A153" s="4" t="s">
        <v>55</v>
      </c>
      <c r="B153" s="2" t="s">
        <v>392</v>
      </c>
      <c r="C153" s="2" t="s">
        <v>391</v>
      </c>
      <c r="D153" s="2">
        <v>41399.0</v>
      </c>
    </row>
    <row r="154">
      <c r="A154" s="4" t="s">
        <v>70</v>
      </c>
      <c r="B154" s="2" t="s">
        <v>393</v>
      </c>
      <c r="C154" s="2" t="s">
        <v>394</v>
      </c>
      <c r="D154" s="2">
        <v>3309.0</v>
      </c>
    </row>
    <row r="155">
      <c r="A155" s="4" t="s">
        <v>75</v>
      </c>
      <c r="B155" s="2" t="s">
        <v>395</v>
      </c>
      <c r="C155" s="2" t="s">
        <v>394</v>
      </c>
      <c r="D155" s="2">
        <v>3611.0</v>
      </c>
    </row>
    <row r="156">
      <c r="A156" s="4" t="s">
        <v>80</v>
      </c>
      <c r="B156" s="2" t="s">
        <v>396</v>
      </c>
      <c r="C156" s="2" t="s">
        <v>394</v>
      </c>
      <c r="D156" s="2">
        <v>3895.0</v>
      </c>
    </row>
    <row r="157">
      <c r="A157" s="4" t="s">
        <v>55</v>
      </c>
      <c r="B157" s="2" t="s">
        <v>397</v>
      </c>
      <c r="C157" s="2" t="s">
        <v>391</v>
      </c>
      <c r="D157" s="2">
        <v>27336.0</v>
      </c>
    </row>
    <row r="158">
      <c r="A158" s="4" t="s">
        <v>151</v>
      </c>
      <c r="B158" s="2" t="s">
        <v>398</v>
      </c>
      <c r="C158" s="2" t="s">
        <v>394</v>
      </c>
      <c r="D158" s="2">
        <v>1320.0</v>
      </c>
    </row>
    <row r="159">
      <c r="A159" s="4" t="s">
        <v>43</v>
      </c>
      <c r="B159" s="2" t="s">
        <v>399</v>
      </c>
      <c r="C159" s="2" t="s">
        <v>391</v>
      </c>
      <c r="D159" s="2">
        <v>29308.0</v>
      </c>
    </row>
    <row r="160">
      <c r="A160" s="4" t="s">
        <v>57</v>
      </c>
      <c r="B160" s="2" t="s">
        <v>400</v>
      </c>
      <c r="C160" s="2" t="s">
        <v>394</v>
      </c>
      <c r="D160" s="2">
        <v>3358.0</v>
      </c>
    </row>
    <row r="161">
      <c r="A161" s="4" t="s">
        <v>29</v>
      </c>
      <c r="B161" s="2" t="s">
        <v>401</v>
      </c>
      <c r="C161" s="2" t="s">
        <v>391</v>
      </c>
      <c r="D161" s="2">
        <v>47306.0</v>
      </c>
    </row>
    <row r="162">
      <c r="A162" s="4" t="s">
        <v>75</v>
      </c>
      <c r="B162" s="2" t="s">
        <v>390</v>
      </c>
      <c r="C162" s="2" t="s">
        <v>391</v>
      </c>
      <c r="D162" s="2">
        <v>34446.0</v>
      </c>
    </row>
    <row r="163">
      <c r="A163" s="4" t="s">
        <v>35</v>
      </c>
      <c r="B163" s="2" t="s">
        <v>392</v>
      </c>
      <c r="C163" s="2" t="s">
        <v>391</v>
      </c>
      <c r="D163" s="2">
        <v>55264.0</v>
      </c>
    </row>
    <row r="164">
      <c r="A164" s="4" t="s">
        <v>70</v>
      </c>
      <c r="B164" s="2" t="s">
        <v>393</v>
      </c>
      <c r="C164" s="2" t="s">
        <v>394</v>
      </c>
      <c r="D164" s="2">
        <v>2709.0</v>
      </c>
    </row>
    <row r="165">
      <c r="A165" s="4" t="s">
        <v>75</v>
      </c>
      <c r="B165" s="2" t="s">
        <v>395</v>
      </c>
      <c r="C165" s="2" t="s">
        <v>394</v>
      </c>
      <c r="D165" s="2">
        <v>3097.0</v>
      </c>
    </row>
    <row r="166">
      <c r="A166" s="4" t="s">
        <v>151</v>
      </c>
      <c r="B166" s="2" t="s">
        <v>396</v>
      </c>
      <c r="C166" s="2" t="s">
        <v>394</v>
      </c>
      <c r="D166" s="2">
        <v>2194.0</v>
      </c>
    </row>
    <row r="167">
      <c r="A167" s="4" t="s">
        <v>15</v>
      </c>
      <c r="B167" s="2" t="s">
        <v>397</v>
      </c>
      <c r="C167" s="2" t="s">
        <v>391</v>
      </c>
      <c r="D167" s="2">
        <v>69386.0</v>
      </c>
    </row>
    <row r="168">
      <c r="A168" s="4" t="s">
        <v>15</v>
      </c>
      <c r="B168" s="2" t="s">
        <v>398</v>
      </c>
      <c r="C168" s="2" t="s">
        <v>394</v>
      </c>
      <c r="D168" s="2">
        <v>4333.0</v>
      </c>
    </row>
    <row r="169">
      <c r="A169" s="4" t="s">
        <v>35</v>
      </c>
      <c r="B169" s="2" t="s">
        <v>399</v>
      </c>
      <c r="C169" s="2" t="s">
        <v>391</v>
      </c>
      <c r="D169" s="2">
        <v>50405.0</v>
      </c>
    </row>
    <row r="170">
      <c r="A170" s="4" t="s">
        <v>70</v>
      </c>
      <c r="B170" s="2" t="s">
        <v>400</v>
      </c>
      <c r="C170" s="2" t="s">
        <v>394</v>
      </c>
      <c r="D170" s="2">
        <v>1916.0</v>
      </c>
    </row>
    <row r="171">
      <c r="A171" s="4" t="s">
        <v>12</v>
      </c>
      <c r="B171" s="2" t="s">
        <v>401</v>
      </c>
      <c r="C171" s="2" t="s">
        <v>391</v>
      </c>
      <c r="D171" s="2">
        <v>18061.0</v>
      </c>
    </row>
    <row r="172">
      <c r="A172" s="4" t="s">
        <v>12</v>
      </c>
      <c r="B172" s="2" t="s">
        <v>390</v>
      </c>
      <c r="C172" s="2" t="s">
        <v>391</v>
      </c>
      <c r="D172" s="2">
        <v>42916.0</v>
      </c>
    </row>
    <row r="173">
      <c r="A173" s="4" t="s">
        <v>80</v>
      </c>
      <c r="B173" s="2" t="s">
        <v>392</v>
      </c>
      <c r="C173" s="2" t="s">
        <v>391</v>
      </c>
      <c r="D173" s="2">
        <v>45559.0</v>
      </c>
    </row>
    <row r="174">
      <c r="A174" s="4" t="s">
        <v>49</v>
      </c>
      <c r="B174" s="2" t="s">
        <v>393</v>
      </c>
      <c r="C174" s="2" t="s">
        <v>394</v>
      </c>
      <c r="D174" s="2">
        <v>1228.0</v>
      </c>
    </row>
    <row r="175">
      <c r="A175" s="4" t="s">
        <v>57</v>
      </c>
      <c r="B175" s="2" t="s">
        <v>395</v>
      </c>
      <c r="C175" s="2" t="s">
        <v>394</v>
      </c>
      <c r="D175" s="2">
        <v>2898.0</v>
      </c>
    </row>
    <row r="176">
      <c r="A176" s="4" t="s">
        <v>75</v>
      </c>
      <c r="B176" s="2" t="s">
        <v>396</v>
      </c>
      <c r="C176" s="2" t="s">
        <v>394</v>
      </c>
      <c r="D176" s="2">
        <v>4582.0</v>
      </c>
    </row>
    <row r="177">
      <c r="A177" s="4" t="s">
        <v>12</v>
      </c>
      <c r="B177" s="2" t="s">
        <v>397</v>
      </c>
      <c r="C177" s="2" t="s">
        <v>391</v>
      </c>
      <c r="D177" s="2">
        <v>40755.0</v>
      </c>
    </row>
    <row r="178">
      <c r="A178" s="4" t="s">
        <v>21</v>
      </c>
      <c r="B178" s="2" t="s">
        <v>398</v>
      </c>
      <c r="C178" s="2" t="s">
        <v>394</v>
      </c>
      <c r="D178" s="2">
        <v>637.0</v>
      </c>
    </row>
    <row r="179">
      <c r="A179" s="4" t="s">
        <v>65</v>
      </c>
      <c r="B179" s="2" t="s">
        <v>399</v>
      </c>
      <c r="C179" s="2" t="s">
        <v>391</v>
      </c>
      <c r="D179" s="2">
        <v>32175.0</v>
      </c>
    </row>
    <row r="180">
      <c r="A180" s="4" t="s">
        <v>24</v>
      </c>
      <c r="B180" s="2" t="s">
        <v>400</v>
      </c>
      <c r="C180" s="2" t="s">
        <v>394</v>
      </c>
      <c r="D180" s="2">
        <v>2991.0</v>
      </c>
    </row>
    <row r="181">
      <c r="A181" s="4" t="s">
        <v>49</v>
      </c>
      <c r="B181" s="2" t="s">
        <v>401</v>
      </c>
      <c r="C181" s="2" t="s">
        <v>391</v>
      </c>
      <c r="D181" s="2">
        <v>48863.0</v>
      </c>
    </row>
    <row r="182">
      <c r="A182" s="4" t="s">
        <v>70</v>
      </c>
      <c r="B182" s="2" t="s">
        <v>390</v>
      </c>
      <c r="C182" s="2" t="s">
        <v>391</v>
      </c>
      <c r="D182" s="2">
        <v>59738.0</v>
      </c>
    </row>
    <row r="183">
      <c r="A183" s="4" t="s">
        <v>87</v>
      </c>
      <c r="B183" s="2" t="s">
        <v>392</v>
      </c>
      <c r="C183" s="2" t="s">
        <v>391</v>
      </c>
      <c r="D183" s="2">
        <v>32514.0</v>
      </c>
    </row>
    <row r="184">
      <c r="A184" s="4" t="s">
        <v>104</v>
      </c>
      <c r="B184" s="2" t="s">
        <v>393</v>
      </c>
      <c r="C184" s="2" t="s">
        <v>394</v>
      </c>
      <c r="D184" s="2">
        <v>778.0</v>
      </c>
    </row>
    <row r="185">
      <c r="A185" s="4" t="s">
        <v>80</v>
      </c>
      <c r="B185" s="2" t="s">
        <v>395</v>
      </c>
      <c r="C185" s="2" t="s">
        <v>394</v>
      </c>
      <c r="D185" s="2">
        <v>4714.0</v>
      </c>
    </row>
    <row r="186">
      <c r="A186" s="4" t="s">
        <v>57</v>
      </c>
      <c r="B186" s="2" t="s">
        <v>396</v>
      </c>
      <c r="C186" s="2" t="s">
        <v>394</v>
      </c>
      <c r="D186" s="2">
        <v>2876.0</v>
      </c>
    </row>
    <row r="187">
      <c r="A187" s="4" t="s">
        <v>24</v>
      </c>
      <c r="B187" s="2" t="s">
        <v>397</v>
      </c>
      <c r="C187" s="2" t="s">
        <v>391</v>
      </c>
      <c r="D187" s="2">
        <v>24028.0</v>
      </c>
    </row>
    <row r="188">
      <c r="A188" s="4" t="s">
        <v>40</v>
      </c>
      <c r="B188" s="2" t="s">
        <v>398</v>
      </c>
      <c r="C188" s="2" t="s">
        <v>394</v>
      </c>
      <c r="D188" s="2">
        <v>1104.0</v>
      </c>
    </row>
    <row r="189">
      <c r="A189" s="4" t="s">
        <v>12</v>
      </c>
      <c r="B189" s="2" t="s">
        <v>399</v>
      </c>
      <c r="C189" s="2" t="s">
        <v>391</v>
      </c>
      <c r="D189" s="2">
        <v>52193.0</v>
      </c>
    </row>
    <row r="190">
      <c r="A190" s="4" t="s">
        <v>18</v>
      </c>
      <c r="B190" s="2" t="s">
        <v>400</v>
      </c>
      <c r="C190" s="2" t="s">
        <v>394</v>
      </c>
      <c r="D190" s="2">
        <v>4543.0</v>
      </c>
    </row>
    <row r="191">
      <c r="A191" s="4" t="s">
        <v>65</v>
      </c>
      <c r="B191" s="2" t="s">
        <v>401</v>
      </c>
      <c r="C191" s="2" t="s">
        <v>391</v>
      </c>
      <c r="D191" s="2">
        <v>14532.0</v>
      </c>
    </row>
    <row r="192">
      <c r="A192" s="4" t="s">
        <v>87</v>
      </c>
      <c r="B192" s="2" t="s">
        <v>390</v>
      </c>
      <c r="C192" s="2" t="s">
        <v>391</v>
      </c>
      <c r="D192" s="2">
        <v>52190.0</v>
      </c>
    </row>
    <row r="193">
      <c r="A193" s="4" t="s">
        <v>15</v>
      </c>
      <c r="B193" s="2" t="s">
        <v>392</v>
      </c>
      <c r="C193" s="2" t="s">
        <v>391</v>
      </c>
      <c r="D193" s="2">
        <v>52257.0</v>
      </c>
    </row>
    <row r="194">
      <c r="A194" s="4" t="s">
        <v>75</v>
      </c>
      <c r="B194" s="2" t="s">
        <v>393</v>
      </c>
      <c r="C194" s="2" t="s">
        <v>394</v>
      </c>
      <c r="D194" s="2">
        <v>1510.0</v>
      </c>
    </row>
    <row r="195">
      <c r="A195" s="4" t="s">
        <v>104</v>
      </c>
      <c r="B195" s="2" t="s">
        <v>395</v>
      </c>
      <c r="C195" s="2" t="s">
        <v>394</v>
      </c>
      <c r="D195" s="2">
        <v>1724.0</v>
      </c>
    </row>
    <row r="196">
      <c r="A196" s="4" t="s">
        <v>15</v>
      </c>
      <c r="B196" s="2" t="s">
        <v>396</v>
      </c>
      <c r="C196" s="2" t="s">
        <v>394</v>
      </c>
      <c r="D196" s="2">
        <v>2244.0</v>
      </c>
    </row>
    <row r="197">
      <c r="A197" s="4" t="s">
        <v>75</v>
      </c>
      <c r="B197" s="2" t="s">
        <v>397</v>
      </c>
      <c r="C197" s="2" t="s">
        <v>391</v>
      </c>
      <c r="D197" s="2">
        <v>35418.0</v>
      </c>
    </row>
    <row r="198">
      <c r="A198" s="4" t="s">
        <v>75</v>
      </c>
      <c r="B198" s="2" t="s">
        <v>398</v>
      </c>
      <c r="C198" s="2" t="s">
        <v>394</v>
      </c>
      <c r="D198" s="2">
        <v>3097.0</v>
      </c>
    </row>
    <row r="199">
      <c r="A199" s="4" t="s">
        <v>75</v>
      </c>
      <c r="B199" s="2" t="s">
        <v>399</v>
      </c>
      <c r="C199" s="2" t="s">
        <v>391</v>
      </c>
      <c r="D199" s="2">
        <v>30256.0</v>
      </c>
    </row>
    <row r="200">
      <c r="A200" s="4" t="s">
        <v>75</v>
      </c>
      <c r="B200" s="2" t="s">
        <v>400</v>
      </c>
      <c r="C200" s="2" t="s">
        <v>394</v>
      </c>
      <c r="D200" s="2">
        <v>3926.0</v>
      </c>
    </row>
    <row r="201">
      <c r="A201" s="4" t="s">
        <v>29</v>
      </c>
      <c r="B201" s="2" t="s">
        <v>401</v>
      </c>
      <c r="C201" s="2" t="s">
        <v>391</v>
      </c>
      <c r="D201" s="2">
        <v>20996.0</v>
      </c>
    </row>
    <row r="202">
      <c r="A202" s="4" t="s">
        <v>31</v>
      </c>
      <c r="B202" s="2" t="s">
        <v>390</v>
      </c>
      <c r="C202" s="2" t="s">
        <v>391</v>
      </c>
      <c r="D202" s="2">
        <v>23197.0</v>
      </c>
    </row>
    <row r="203">
      <c r="A203" s="4" t="s">
        <v>65</v>
      </c>
      <c r="B203" s="2" t="s">
        <v>392</v>
      </c>
      <c r="C203" s="2" t="s">
        <v>391</v>
      </c>
      <c r="D203" s="2">
        <v>15547.0</v>
      </c>
    </row>
    <row r="204">
      <c r="A204" s="4" t="s">
        <v>35</v>
      </c>
      <c r="B204" s="2" t="s">
        <v>393</v>
      </c>
      <c r="C204" s="2" t="s">
        <v>394</v>
      </c>
      <c r="D204" s="2">
        <v>2035.0</v>
      </c>
    </row>
    <row r="205">
      <c r="A205" s="4" t="s">
        <v>12</v>
      </c>
      <c r="B205" s="2" t="s">
        <v>395</v>
      </c>
      <c r="C205" s="2" t="s">
        <v>394</v>
      </c>
      <c r="D205" s="2">
        <v>1224.0</v>
      </c>
    </row>
    <row r="206">
      <c r="A206" s="4" t="s">
        <v>29</v>
      </c>
      <c r="B206" s="2" t="s">
        <v>396</v>
      </c>
      <c r="C206" s="2" t="s">
        <v>394</v>
      </c>
      <c r="D206" s="2">
        <v>3462.0</v>
      </c>
    </row>
    <row r="207">
      <c r="A207" s="4" t="s">
        <v>151</v>
      </c>
      <c r="B207" s="2" t="s">
        <v>397</v>
      </c>
      <c r="C207" s="2" t="s">
        <v>391</v>
      </c>
      <c r="D207" s="2">
        <v>53788.0</v>
      </c>
    </row>
    <row r="208">
      <c r="A208" s="4" t="s">
        <v>80</v>
      </c>
      <c r="B208" s="2" t="s">
        <v>398</v>
      </c>
      <c r="C208" s="2" t="s">
        <v>394</v>
      </c>
      <c r="D208" s="2">
        <v>905.0</v>
      </c>
    </row>
    <row r="209">
      <c r="A209" s="4" t="s">
        <v>12</v>
      </c>
      <c r="B209" s="2" t="s">
        <v>399</v>
      </c>
      <c r="C209" s="2" t="s">
        <v>391</v>
      </c>
      <c r="D209" s="2">
        <v>34326.0</v>
      </c>
    </row>
    <row r="210">
      <c r="A210" s="4" t="s">
        <v>55</v>
      </c>
      <c r="B210" s="2" t="s">
        <v>400</v>
      </c>
      <c r="C210" s="2" t="s">
        <v>394</v>
      </c>
      <c r="D210" s="2">
        <v>1164.0</v>
      </c>
    </row>
    <row r="211">
      <c r="A211" s="4" t="s">
        <v>12</v>
      </c>
      <c r="B211" s="2" t="s">
        <v>401</v>
      </c>
      <c r="C211" s="2" t="s">
        <v>391</v>
      </c>
      <c r="D211" s="2">
        <v>45551.0</v>
      </c>
    </row>
    <row r="212">
      <c r="A212" s="4" t="s">
        <v>40</v>
      </c>
      <c r="B212" s="2" t="s">
        <v>390</v>
      </c>
      <c r="C212" s="2" t="s">
        <v>391</v>
      </c>
      <c r="D212" s="2">
        <v>69155.0</v>
      </c>
    </row>
    <row r="213">
      <c r="A213" s="4" t="s">
        <v>55</v>
      </c>
      <c r="B213" s="2" t="s">
        <v>392</v>
      </c>
      <c r="C213" s="2" t="s">
        <v>391</v>
      </c>
      <c r="D213" s="2">
        <v>67616.0</v>
      </c>
    </row>
    <row r="214">
      <c r="A214" s="4" t="s">
        <v>49</v>
      </c>
      <c r="B214" s="2" t="s">
        <v>393</v>
      </c>
      <c r="C214" s="2" t="s">
        <v>394</v>
      </c>
      <c r="D214" s="2">
        <v>1730.0</v>
      </c>
    </row>
    <row r="215">
      <c r="A215" s="4" t="s">
        <v>104</v>
      </c>
      <c r="B215" s="2" t="s">
        <v>395</v>
      </c>
      <c r="C215" s="2" t="s">
        <v>394</v>
      </c>
      <c r="D215" s="2">
        <v>4469.0</v>
      </c>
    </row>
    <row r="216">
      <c r="A216" s="4" t="s">
        <v>18</v>
      </c>
      <c r="B216" s="2" t="s">
        <v>396</v>
      </c>
      <c r="C216" s="2" t="s">
        <v>394</v>
      </c>
      <c r="D216" s="2">
        <v>4844.0</v>
      </c>
    </row>
    <row r="217">
      <c r="A217" s="4" t="s">
        <v>65</v>
      </c>
      <c r="B217" s="2" t="s">
        <v>397</v>
      </c>
      <c r="C217" s="2" t="s">
        <v>391</v>
      </c>
      <c r="D217" s="2">
        <v>63664.0</v>
      </c>
    </row>
    <row r="218">
      <c r="A218" s="4" t="s">
        <v>151</v>
      </c>
      <c r="B218" s="2" t="s">
        <v>398</v>
      </c>
      <c r="C218" s="2" t="s">
        <v>394</v>
      </c>
      <c r="D218" s="2">
        <v>587.0</v>
      </c>
    </row>
    <row r="219">
      <c r="A219" s="4" t="s">
        <v>104</v>
      </c>
      <c r="B219" s="2" t="s">
        <v>399</v>
      </c>
      <c r="C219" s="2" t="s">
        <v>391</v>
      </c>
      <c r="D219" s="2">
        <v>53029.0</v>
      </c>
    </row>
    <row r="220">
      <c r="A220" s="4" t="s">
        <v>15</v>
      </c>
      <c r="B220" s="2" t="s">
        <v>400</v>
      </c>
      <c r="C220" s="2" t="s">
        <v>394</v>
      </c>
      <c r="D220" s="2">
        <v>1057.0</v>
      </c>
    </row>
    <row r="221">
      <c r="A221" s="4" t="s">
        <v>65</v>
      </c>
      <c r="B221" s="2" t="s">
        <v>401</v>
      </c>
      <c r="C221" s="2" t="s">
        <v>391</v>
      </c>
      <c r="D221" s="2">
        <v>26909.0</v>
      </c>
    </row>
    <row r="222">
      <c r="A222" s="4" t="s">
        <v>70</v>
      </c>
      <c r="B222" s="2" t="s">
        <v>390</v>
      </c>
      <c r="C222" s="2" t="s">
        <v>391</v>
      </c>
      <c r="D222" s="2">
        <v>60410.0</v>
      </c>
    </row>
    <row r="223">
      <c r="A223" s="4" t="s">
        <v>65</v>
      </c>
      <c r="B223" s="2" t="s">
        <v>392</v>
      </c>
      <c r="C223" s="2" t="s">
        <v>391</v>
      </c>
      <c r="D223" s="2">
        <v>24008.0</v>
      </c>
    </row>
    <row r="224">
      <c r="A224" s="4" t="s">
        <v>87</v>
      </c>
      <c r="B224" s="2" t="s">
        <v>393</v>
      </c>
      <c r="C224" s="2" t="s">
        <v>394</v>
      </c>
      <c r="D224" s="2">
        <v>4255.0</v>
      </c>
    </row>
    <row r="225">
      <c r="A225" s="4" t="s">
        <v>55</v>
      </c>
      <c r="B225" s="2" t="s">
        <v>395</v>
      </c>
      <c r="C225" s="2" t="s">
        <v>394</v>
      </c>
      <c r="D225" s="2">
        <v>4753.0</v>
      </c>
    </row>
    <row r="226">
      <c r="A226" s="4" t="s">
        <v>35</v>
      </c>
      <c r="B226" s="2" t="s">
        <v>396</v>
      </c>
      <c r="C226" s="2" t="s">
        <v>394</v>
      </c>
      <c r="D226" s="2">
        <v>1412.0</v>
      </c>
    </row>
    <row r="227">
      <c r="A227" s="4" t="s">
        <v>57</v>
      </c>
      <c r="B227" s="2" t="s">
        <v>397</v>
      </c>
      <c r="C227" s="2" t="s">
        <v>391</v>
      </c>
      <c r="D227" s="2">
        <v>15715.0</v>
      </c>
    </row>
    <row r="228">
      <c r="A228" s="4" t="s">
        <v>31</v>
      </c>
      <c r="B228" s="2" t="s">
        <v>398</v>
      </c>
      <c r="C228" s="2" t="s">
        <v>394</v>
      </c>
      <c r="D228" s="2">
        <v>2398.0</v>
      </c>
    </row>
    <row r="229">
      <c r="A229" s="4" t="s">
        <v>18</v>
      </c>
      <c r="B229" s="2" t="s">
        <v>399</v>
      </c>
      <c r="C229" s="2" t="s">
        <v>391</v>
      </c>
      <c r="D229" s="2">
        <v>28010.0</v>
      </c>
    </row>
    <row r="230">
      <c r="A230" s="4" t="s">
        <v>65</v>
      </c>
      <c r="B230" s="2" t="s">
        <v>400</v>
      </c>
      <c r="C230" s="2" t="s">
        <v>394</v>
      </c>
      <c r="D230" s="2">
        <v>4605.0</v>
      </c>
    </row>
    <row r="231">
      <c r="A231" s="4" t="s">
        <v>57</v>
      </c>
      <c r="B231" s="2" t="s">
        <v>401</v>
      </c>
      <c r="C231" s="2" t="s">
        <v>391</v>
      </c>
      <c r="D231" s="2">
        <v>31874.0</v>
      </c>
    </row>
    <row r="232">
      <c r="A232" s="4" t="s">
        <v>18</v>
      </c>
      <c r="B232" s="2" t="s">
        <v>390</v>
      </c>
      <c r="C232" s="2" t="s">
        <v>391</v>
      </c>
      <c r="D232" s="2">
        <v>18896.0</v>
      </c>
    </row>
    <row r="233">
      <c r="A233" s="4" t="s">
        <v>57</v>
      </c>
      <c r="B233" s="2" t="s">
        <v>392</v>
      </c>
      <c r="C233" s="2" t="s">
        <v>391</v>
      </c>
      <c r="D233" s="2">
        <v>42199.0</v>
      </c>
    </row>
    <row r="234">
      <c r="A234" s="4" t="s">
        <v>29</v>
      </c>
      <c r="B234" s="2" t="s">
        <v>393</v>
      </c>
      <c r="C234" s="2" t="s">
        <v>394</v>
      </c>
      <c r="D234" s="2">
        <v>4118.0</v>
      </c>
    </row>
    <row r="235">
      <c r="A235" s="4" t="s">
        <v>49</v>
      </c>
      <c r="B235" s="2" t="s">
        <v>395</v>
      </c>
      <c r="C235" s="2" t="s">
        <v>394</v>
      </c>
      <c r="D235" s="2">
        <v>1262.0</v>
      </c>
    </row>
    <row r="236">
      <c r="A236" s="4" t="s">
        <v>49</v>
      </c>
      <c r="B236" s="2" t="s">
        <v>396</v>
      </c>
      <c r="C236" s="2" t="s">
        <v>394</v>
      </c>
      <c r="D236" s="2">
        <v>1854.0</v>
      </c>
    </row>
    <row r="237">
      <c r="A237" s="4" t="s">
        <v>35</v>
      </c>
      <c r="B237" s="2" t="s">
        <v>397</v>
      </c>
      <c r="C237" s="2" t="s">
        <v>391</v>
      </c>
      <c r="D237" s="2">
        <v>35062.0</v>
      </c>
    </row>
    <row r="238">
      <c r="A238" s="4" t="s">
        <v>49</v>
      </c>
      <c r="B238" s="2" t="s">
        <v>398</v>
      </c>
      <c r="C238" s="2" t="s">
        <v>394</v>
      </c>
      <c r="D238" s="2">
        <v>4998.0</v>
      </c>
    </row>
    <row r="239">
      <c r="A239" s="4" t="s">
        <v>151</v>
      </c>
      <c r="B239" s="2" t="s">
        <v>399</v>
      </c>
      <c r="C239" s="2" t="s">
        <v>391</v>
      </c>
      <c r="D239" s="2">
        <v>61018.0</v>
      </c>
    </row>
    <row r="240">
      <c r="A240" s="4" t="s">
        <v>57</v>
      </c>
      <c r="B240" s="2" t="s">
        <v>400</v>
      </c>
      <c r="C240" s="2" t="s">
        <v>394</v>
      </c>
      <c r="D240" s="2">
        <v>2351.0</v>
      </c>
    </row>
    <row r="241">
      <c r="A241" s="4" t="s">
        <v>87</v>
      </c>
      <c r="B241" s="2" t="s">
        <v>401</v>
      </c>
      <c r="C241" s="2" t="s">
        <v>391</v>
      </c>
      <c r="D241" s="2">
        <v>20044.0</v>
      </c>
    </row>
    <row r="242">
      <c r="A242" s="4" t="s">
        <v>151</v>
      </c>
      <c r="B242" s="2" t="s">
        <v>390</v>
      </c>
      <c r="C242" s="2" t="s">
        <v>391</v>
      </c>
      <c r="D242" s="2">
        <v>39499.0</v>
      </c>
    </row>
    <row r="243">
      <c r="A243" s="4" t="s">
        <v>31</v>
      </c>
      <c r="B243" s="2" t="s">
        <v>392</v>
      </c>
      <c r="C243" s="2" t="s">
        <v>391</v>
      </c>
      <c r="D243" s="2">
        <v>15143.0</v>
      </c>
    </row>
    <row r="244">
      <c r="A244" s="4" t="s">
        <v>70</v>
      </c>
      <c r="B244" s="2" t="s">
        <v>393</v>
      </c>
      <c r="C244" s="2" t="s">
        <v>394</v>
      </c>
      <c r="D244" s="2">
        <v>3063.0</v>
      </c>
    </row>
    <row r="245">
      <c r="A245" s="4" t="s">
        <v>21</v>
      </c>
      <c r="B245" s="2" t="s">
        <v>395</v>
      </c>
      <c r="C245" s="2" t="s">
        <v>394</v>
      </c>
      <c r="D245" s="2">
        <v>3187.0</v>
      </c>
    </row>
    <row r="246">
      <c r="A246" s="4" t="s">
        <v>43</v>
      </c>
      <c r="B246" s="2" t="s">
        <v>396</v>
      </c>
      <c r="C246" s="2" t="s">
        <v>394</v>
      </c>
      <c r="D246" s="2">
        <v>2183.0</v>
      </c>
    </row>
    <row r="247">
      <c r="A247" s="4" t="s">
        <v>15</v>
      </c>
      <c r="B247" s="2" t="s">
        <v>397</v>
      </c>
      <c r="C247" s="2" t="s">
        <v>391</v>
      </c>
      <c r="D247" s="2">
        <v>59007.0</v>
      </c>
    </row>
    <row r="248">
      <c r="A248" s="4" t="s">
        <v>104</v>
      </c>
      <c r="B248" s="2" t="s">
        <v>398</v>
      </c>
      <c r="C248" s="2" t="s">
        <v>394</v>
      </c>
      <c r="D248" s="2">
        <v>3098.0</v>
      </c>
    </row>
    <row r="249">
      <c r="A249" s="4" t="s">
        <v>151</v>
      </c>
      <c r="B249" s="2" t="s">
        <v>399</v>
      </c>
      <c r="C249" s="2" t="s">
        <v>391</v>
      </c>
      <c r="D249" s="2">
        <v>22379.0</v>
      </c>
    </row>
    <row r="250">
      <c r="A250" s="4" t="s">
        <v>65</v>
      </c>
      <c r="B250" s="2" t="s">
        <v>400</v>
      </c>
      <c r="C250" s="2" t="s">
        <v>394</v>
      </c>
      <c r="D250" s="2">
        <v>3476.0</v>
      </c>
    </row>
    <row r="251">
      <c r="A251" s="4" t="s">
        <v>104</v>
      </c>
      <c r="B251" s="2" t="s">
        <v>401</v>
      </c>
      <c r="C251" s="2" t="s">
        <v>391</v>
      </c>
      <c r="D251" s="2">
        <v>50314.0</v>
      </c>
    </row>
    <row r="252">
      <c r="A252" s="4" t="s">
        <v>35</v>
      </c>
      <c r="B252" s="2" t="s">
        <v>390</v>
      </c>
      <c r="C252" s="2" t="s">
        <v>391</v>
      </c>
      <c r="D252" s="2">
        <v>66350.0</v>
      </c>
    </row>
    <row r="253">
      <c r="A253" s="4" t="s">
        <v>65</v>
      </c>
      <c r="B253" s="2" t="s">
        <v>392</v>
      </c>
      <c r="C253" s="2" t="s">
        <v>391</v>
      </c>
      <c r="D253" s="2">
        <v>16826.0</v>
      </c>
    </row>
    <row r="254">
      <c r="A254" s="4" t="s">
        <v>87</v>
      </c>
      <c r="B254" s="2" t="s">
        <v>393</v>
      </c>
      <c r="C254" s="2" t="s">
        <v>394</v>
      </c>
      <c r="D254" s="2">
        <v>2784.0</v>
      </c>
    </row>
    <row r="255">
      <c r="A255" s="4" t="s">
        <v>12</v>
      </c>
      <c r="B255" s="2" t="s">
        <v>395</v>
      </c>
      <c r="C255" s="2" t="s">
        <v>394</v>
      </c>
      <c r="D255" s="2">
        <v>2527.0</v>
      </c>
    </row>
    <row r="256">
      <c r="A256" s="4" t="s">
        <v>87</v>
      </c>
      <c r="B256" s="2" t="s">
        <v>396</v>
      </c>
      <c r="C256" s="2" t="s">
        <v>394</v>
      </c>
      <c r="D256" s="2">
        <v>2882.0</v>
      </c>
    </row>
    <row r="257">
      <c r="A257" s="4" t="s">
        <v>29</v>
      </c>
      <c r="B257" s="2" t="s">
        <v>397</v>
      </c>
      <c r="C257" s="2" t="s">
        <v>391</v>
      </c>
      <c r="D257" s="2">
        <v>38383.0</v>
      </c>
    </row>
    <row r="258">
      <c r="A258" s="4" t="s">
        <v>12</v>
      </c>
      <c r="B258" s="2" t="s">
        <v>398</v>
      </c>
      <c r="C258" s="2" t="s">
        <v>394</v>
      </c>
      <c r="D258" s="2">
        <v>2111.0</v>
      </c>
    </row>
    <row r="259">
      <c r="A259" s="4" t="s">
        <v>55</v>
      </c>
      <c r="B259" s="2" t="s">
        <v>399</v>
      </c>
      <c r="C259" s="2" t="s">
        <v>391</v>
      </c>
      <c r="D259" s="2">
        <v>49853.0</v>
      </c>
    </row>
    <row r="260">
      <c r="A260" s="4" t="s">
        <v>24</v>
      </c>
      <c r="B260" s="2" t="s">
        <v>400</v>
      </c>
      <c r="C260" s="2" t="s">
        <v>394</v>
      </c>
      <c r="D260" s="2">
        <v>4122.0</v>
      </c>
    </row>
    <row r="261">
      <c r="A261" s="4" t="s">
        <v>70</v>
      </c>
      <c r="B261" s="2" t="s">
        <v>401</v>
      </c>
      <c r="C261" s="2" t="s">
        <v>391</v>
      </c>
      <c r="D261" s="2">
        <v>45056.0</v>
      </c>
    </row>
    <row r="262">
      <c r="A262" s="4" t="s">
        <v>57</v>
      </c>
      <c r="B262" s="2" t="s">
        <v>390</v>
      </c>
      <c r="C262" s="2" t="s">
        <v>391</v>
      </c>
      <c r="D262" s="2">
        <v>54759.0</v>
      </c>
    </row>
    <row r="263">
      <c r="A263" s="4" t="s">
        <v>40</v>
      </c>
      <c r="B263" s="2" t="s">
        <v>392</v>
      </c>
      <c r="C263" s="2" t="s">
        <v>391</v>
      </c>
      <c r="D263" s="2">
        <v>61509.0</v>
      </c>
    </row>
    <row r="264">
      <c r="A264" s="4" t="s">
        <v>31</v>
      </c>
      <c r="B264" s="2" t="s">
        <v>393</v>
      </c>
      <c r="C264" s="2" t="s">
        <v>394</v>
      </c>
      <c r="D264" s="2">
        <v>3636.0</v>
      </c>
    </row>
    <row r="265">
      <c r="A265" s="4" t="s">
        <v>15</v>
      </c>
      <c r="B265" s="2" t="s">
        <v>395</v>
      </c>
      <c r="C265" s="2" t="s">
        <v>394</v>
      </c>
      <c r="D265" s="2">
        <v>963.0</v>
      </c>
    </row>
    <row r="266">
      <c r="A266" s="4" t="s">
        <v>87</v>
      </c>
      <c r="B266" s="2" t="s">
        <v>396</v>
      </c>
      <c r="C266" s="2" t="s">
        <v>394</v>
      </c>
      <c r="D266" s="2">
        <v>3571.0</v>
      </c>
    </row>
    <row r="267">
      <c r="A267" s="4" t="s">
        <v>65</v>
      </c>
      <c r="B267" s="2" t="s">
        <v>397</v>
      </c>
      <c r="C267" s="2" t="s">
        <v>391</v>
      </c>
      <c r="D267" s="2">
        <v>41002.0</v>
      </c>
    </row>
    <row r="268">
      <c r="A268" s="4" t="s">
        <v>55</v>
      </c>
      <c r="B268" s="2" t="s">
        <v>398</v>
      </c>
      <c r="C268" s="2" t="s">
        <v>394</v>
      </c>
      <c r="D268" s="2">
        <v>4906.0</v>
      </c>
    </row>
    <row r="269">
      <c r="A269" s="4" t="s">
        <v>49</v>
      </c>
      <c r="B269" s="2" t="s">
        <v>399</v>
      </c>
      <c r="C269" s="2" t="s">
        <v>391</v>
      </c>
      <c r="D269" s="2">
        <v>61818.0</v>
      </c>
    </row>
    <row r="270">
      <c r="A270" s="4" t="s">
        <v>104</v>
      </c>
      <c r="B270" s="2" t="s">
        <v>400</v>
      </c>
      <c r="C270" s="2" t="s">
        <v>394</v>
      </c>
      <c r="D270" s="2">
        <v>1178.0</v>
      </c>
    </row>
    <row r="271">
      <c r="A271" s="4" t="s">
        <v>65</v>
      </c>
      <c r="B271" s="2" t="s">
        <v>401</v>
      </c>
      <c r="C271" s="2" t="s">
        <v>391</v>
      </c>
      <c r="D271" s="2">
        <v>36362.0</v>
      </c>
    </row>
    <row r="272">
      <c r="A272" s="4" t="s">
        <v>80</v>
      </c>
      <c r="B272" s="2" t="s">
        <v>390</v>
      </c>
      <c r="C272" s="2" t="s">
        <v>391</v>
      </c>
      <c r="D272" s="2">
        <v>38421.0</v>
      </c>
    </row>
    <row r="273">
      <c r="A273" s="4" t="s">
        <v>57</v>
      </c>
      <c r="B273" s="2" t="s">
        <v>392</v>
      </c>
      <c r="C273" s="2" t="s">
        <v>391</v>
      </c>
      <c r="D273" s="2">
        <v>17120.0</v>
      </c>
    </row>
    <row r="274">
      <c r="A274" s="4" t="s">
        <v>70</v>
      </c>
      <c r="B274" s="2" t="s">
        <v>393</v>
      </c>
      <c r="C274" s="2" t="s">
        <v>394</v>
      </c>
      <c r="D274" s="2">
        <v>4421.0</v>
      </c>
    </row>
    <row r="275">
      <c r="A275" s="4" t="s">
        <v>57</v>
      </c>
      <c r="B275" s="2" t="s">
        <v>395</v>
      </c>
      <c r="C275" s="2" t="s">
        <v>394</v>
      </c>
      <c r="D275" s="2">
        <v>4765.0</v>
      </c>
    </row>
    <row r="276">
      <c r="A276" s="4" t="s">
        <v>151</v>
      </c>
      <c r="B276" s="2" t="s">
        <v>396</v>
      </c>
      <c r="C276" s="2" t="s">
        <v>394</v>
      </c>
      <c r="D276" s="2">
        <v>1399.0</v>
      </c>
    </row>
    <row r="277">
      <c r="A277" s="4" t="s">
        <v>55</v>
      </c>
      <c r="B277" s="2" t="s">
        <v>397</v>
      </c>
      <c r="C277" s="2" t="s">
        <v>391</v>
      </c>
      <c r="D277" s="2">
        <v>50012.0</v>
      </c>
    </row>
    <row r="278">
      <c r="A278" s="4" t="s">
        <v>35</v>
      </c>
      <c r="B278" s="2" t="s">
        <v>398</v>
      </c>
      <c r="C278" s="2" t="s">
        <v>394</v>
      </c>
      <c r="D278" s="2">
        <v>4526.0</v>
      </c>
    </row>
    <row r="279">
      <c r="A279" s="4" t="s">
        <v>12</v>
      </c>
      <c r="B279" s="2" t="s">
        <v>399</v>
      </c>
      <c r="C279" s="2" t="s">
        <v>391</v>
      </c>
      <c r="D279" s="2">
        <v>52985.0</v>
      </c>
    </row>
    <row r="280">
      <c r="A280" s="4" t="s">
        <v>40</v>
      </c>
      <c r="B280" s="2" t="s">
        <v>400</v>
      </c>
      <c r="C280" s="2" t="s">
        <v>394</v>
      </c>
      <c r="D280" s="2">
        <v>686.0</v>
      </c>
    </row>
    <row r="281">
      <c r="A281" s="4" t="s">
        <v>104</v>
      </c>
      <c r="B281" s="2" t="s">
        <v>401</v>
      </c>
      <c r="C281" s="2" t="s">
        <v>391</v>
      </c>
      <c r="D281" s="2">
        <v>62745.0</v>
      </c>
    </row>
    <row r="282">
      <c r="A282" s="4" t="s">
        <v>24</v>
      </c>
      <c r="B282" s="2" t="s">
        <v>390</v>
      </c>
      <c r="C282" s="2" t="s">
        <v>391</v>
      </c>
      <c r="D282" s="2">
        <v>42015.0</v>
      </c>
    </row>
    <row r="283">
      <c r="A283" s="4" t="s">
        <v>55</v>
      </c>
      <c r="B283" s="2" t="s">
        <v>392</v>
      </c>
      <c r="C283" s="2" t="s">
        <v>391</v>
      </c>
      <c r="D283" s="2">
        <v>25620.0</v>
      </c>
    </row>
    <row r="284">
      <c r="A284" s="4" t="s">
        <v>24</v>
      </c>
      <c r="B284" s="2" t="s">
        <v>393</v>
      </c>
      <c r="C284" s="2" t="s">
        <v>394</v>
      </c>
      <c r="D284" s="2">
        <v>3340.0</v>
      </c>
    </row>
    <row r="285">
      <c r="A285" s="4" t="s">
        <v>31</v>
      </c>
      <c r="B285" s="2" t="s">
        <v>395</v>
      </c>
      <c r="C285" s="2" t="s">
        <v>394</v>
      </c>
      <c r="D285" s="2">
        <v>4077.0</v>
      </c>
    </row>
    <row r="286">
      <c r="A286" s="4" t="s">
        <v>75</v>
      </c>
      <c r="B286" s="2" t="s">
        <v>396</v>
      </c>
      <c r="C286" s="2" t="s">
        <v>394</v>
      </c>
      <c r="D286" s="2">
        <v>2134.0</v>
      </c>
    </row>
    <row r="287">
      <c r="A287" s="4" t="s">
        <v>57</v>
      </c>
      <c r="B287" s="2" t="s">
        <v>397</v>
      </c>
      <c r="C287" s="2" t="s">
        <v>391</v>
      </c>
      <c r="D287" s="2">
        <v>51024.0</v>
      </c>
    </row>
    <row r="288">
      <c r="A288" s="4" t="s">
        <v>65</v>
      </c>
      <c r="B288" s="2" t="s">
        <v>398</v>
      </c>
      <c r="C288" s="2" t="s">
        <v>394</v>
      </c>
      <c r="D288" s="2">
        <v>3722.0</v>
      </c>
    </row>
    <row r="289">
      <c r="A289" s="4" t="s">
        <v>12</v>
      </c>
      <c r="B289" s="2" t="s">
        <v>399</v>
      </c>
      <c r="C289" s="2" t="s">
        <v>391</v>
      </c>
      <c r="D289" s="2">
        <v>15793.0</v>
      </c>
    </row>
    <row r="290">
      <c r="A290" s="4" t="s">
        <v>65</v>
      </c>
      <c r="B290" s="2" t="s">
        <v>400</v>
      </c>
      <c r="C290" s="2" t="s">
        <v>394</v>
      </c>
      <c r="D290" s="2">
        <v>1108.0</v>
      </c>
    </row>
    <row r="291">
      <c r="A291" s="4" t="s">
        <v>43</v>
      </c>
      <c r="B291" s="2" t="s">
        <v>401</v>
      </c>
      <c r="C291" s="2" t="s">
        <v>391</v>
      </c>
      <c r="D291" s="2">
        <v>51215.0</v>
      </c>
    </row>
    <row r="292">
      <c r="A292" s="4" t="s">
        <v>35</v>
      </c>
      <c r="B292" s="2" t="s">
        <v>390</v>
      </c>
      <c r="C292" s="2" t="s">
        <v>391</v>
      </c>
      <c r="D292" s="2">
        <v>52869.0</v>
      </c>
    </row>
    <row r="293">
      <c r="A293" s="4" t="s">
        <v>24</v>
      </c>
      <c r="B293" s="2" t="s">
        <v>392</v>
      </c>
      <c r="C293" s="2" t="s">
        <v>391</v>
      </c>
      <c r="D293" s="2">
        <v>29747.0</v>
      </c>
    </row>
    <row r="294">
      <c r="A294" s="4" t="s">
        <v>18</v>
      </c>
      <c r="B294" s="2" t="s">
        <v>393</v>
      </c>
      <c r="C294" s="2" t="s">
        <v>394</v>
      </c>
      <c r="D294" s="2">
        <v>4874.0</v>
      </c>
    </row>
    <row r="295">
      <c r="A295" s="4" t="s">
        <v>35</v>
      </c>
      <c r="B295" s="2" t="s">
        <v>395</v>
      </c>
      <c r="C295" s="2" t="s">
        <v>394</v>
      </c>
      <c r="D295" s="2">
        <v>3038.0</v>
      </c>
    </row>
    <row r="296">
      <c r="A296" s="4" t="s">
        <v>55</v>
      </c>
      <c r="B296" s="2" t="s">
        <v>396</v>
      </c>
      <c r="C296" s="2" t="s">
        <v>394</v>
      </c>
      <c r="D296" s="2">
        <v>1407.0</v>
      </c>
    </row>
    <row r="297">
      <c r="A297" s="4" t="s">
        <v>80</v>
      </c>
      <c r="B297" s="2" t="s">
        <v>397</v>
      </c>
      <c r="C297" s="2" t="s">
        <v>391</v>
      </c>
      <c r="D297" s="2">
        <v>15283.0</v>
      </c>
    </row>
    <row r="298">
      <c r="A298" s="4" t="s">
        <v>80</v>
      </c>
      <c r="B298" s="2" t="s">
        <v>398</v>
      </c>
      <c r="C298" s="2" t="s">
        <v>394</v>
      </c>
      <c r="D298" s="2">
        <v>2228.0</v>
      </c>
    </row>
    <row r="299">
      <c r="A299" s="4" t="s">
        <v>151</v>
      </c>
      <c r="B299" s="2" t="s">
        <v>399</v>
      </c>
      <c r="C299" s="2" t="s">
        <v>391</v>
      </c>
      <c r="D299" s="2">
        <v>39236.0</v>
      </c>
    </row>
    <row r="300">
      <c r="A300" s="4" t="s">
        <v>18</v>
      </c>
      <c r="B300" s="2" t="s">
        <v>400</v>
      </c>
      <c r="C300" s="2" t="s">
        <v>394</v>
      </c>
      <c r="D300" s="2">
        <v>4851.0</v>
      </c>
    </row>
    <row r="301">
      <c r="A301" s="4" t="s">
        <v>70</v>
      </c>
      <c r="B301" s="2" t="s">
        <v>401</v>
      </c>
      <c r="C301" s="2" t="s">
        <v>391</v>
      </c>
      <c r="D301" s="2">
        <v>69183.0</v>
      </c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25"/>
  </cols>
  <sheetData>
    <row r="1"/>
    <row r="2"/>
    <row r="3"/>
    <row r="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75"/>
  </cols>
  <sheetData>
    <row r="1">
      <c r="A1" s="7" t="s">
        <v>404</v>
      </c>
      <c r="B1" s="7" t="s">
        <v>405</v>
      </c>
      <c r="C1" s="7" t="s">
        <v>406</v>
      </c>
    </row>
    <row r="2">
      <c r="A2" s="8">
        <f>SUM(Orders!J:J)</f>
        <v>28882303</v>
      </c>
      <c r="B2" s="8">
        <f>COUNT(Orders!A:A)-1</f>
        <v>-1</v>
      </c>
      <c r="C2" s="8">
        <f>AVERAGE(Orders!J:J)</f>
        <v>96274.34333</v>
      </c>
    </row>
    <row r="18">
      <c r="A18" s="1" t="s">
        <v>407</v>
      </c>
    </row>
    <row r="19">
      <c r="A19" s="3" t="s">
        <v>408</v>
      </c>
    </row>
    <row r="20">
      <c r="A20" s="3" t="s">
        <v>409</v>
      </c>
    </row>
    <row r="21">
      <c r="A21" s="3" t="s">
        <v>410</v>
      </c>
    </row>
  </sheetData>
  <drawing r:id="rId1"/>
</worksheet>
</file>